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8010"/>
  </bookViews>
  <sheets>
    <sheet name="Sheet1" sheetId="1" r:id="rId1"/>
    <sheet name="Sheet2" sheetId="2" r:id="rId2"/>
    <sheet name="Theta" sheetId="3" r:id="rId3"/>
  </sheets>
  <calcPr calcId="145621"/>
</workbook>
</file>

<file path=xl/calcChain.xml><?xml version="1.0" encoding="utf-8"?>
<calcChain xmlns="http://schemas.openxmlformats.org/spreadsheetml/2006/main">
  <c r="C24" i="1" l="1"/>
  <c r="D24" i="1"/>
  <c r="E24" i="1"/>
  <c r="H24" i="1"/>
  <c r="C25" i="1"/>
  <c r="D25" i="1"/>
  <c r="E25" i="1"/>
  <c r="H25" i="1"/>
  <c r="B25" i="1"/>
  <c r="B24" i="1"/>
  <c r="M26" i="3" l="1"/>
  <c r="J26" i="3"/>
  <c r="G26" i="3"/>
  <c r="D26" i="3"/>
  <c r="L26" i="3"/>
  <c r="K26" i="3"/>
  <c r="I26" i="3"/>
  <c r="H26" i="3"/>
  <c r="F26" i="3"/>
  <c r="E26" i="3"/>
  <c r="C26" i="3"/>
  <c r="B26" i="3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C24" i="3"/>
  <c r="D24" i="3"/>
  <c r="E24" i="3"/>
  <c r="F24" i="3"/>
  <c r="G24" i="3"/>
  <c r="H24" i="3"/>
  <c r="I24" i="3"/>
  <c r="J24" i="3"/>
  <c r="K24" i="3"/>
  <c r="L24" i="3"/>
  <c r="M24" i="3"/>
  <c r="B24" i="3"/>
  <c r="L4" i="3"/>
  <c r="M4" i="3"/>
  <c r="L5" i="3"/>
  <c r="M5" i="3"/>
  <c r="L6" i="3"/>
  <c r="M6" i="3"/>
  <c r="L7" i="3"/>
  <c r="M7" i="3"/>
  <c r="L8" i="3"/>
  <c r="M8" i="3"/>
  <c r="L9" i="3"/>
  <c r="M9" i="3"/>
  <c r="L10" i="3"/>
  <c r="M10" i="3"/>
  <c r="L11" i="3"/>
  <c r="M11" i="3"/>
  <c r="L12" i="3"/>
  <c r="M12" i="3"/>
  <c r="L13" i="3"/>
  <c r="M13" i="3"/>
  <c r="L14" i="3"/>
  <c r="M14" i="3"/>
  <c r="L15" i="3"/>
  <c r="M15" i="3"/>
  <c r="L16" i="3"/>
  <c r="M16" i="3"/>
  <c r="L17" i="3"/>
  <c r="M17" i="3"/>
  <c r="L18" i="3"/>
  <c r="M18" i="3"/>
  <c r="L19" i="3"/>
  <c r="M19" i="3"/>
  <c r="L20" i="3"/>
  <c r="M20" i="3"/>
  <c r="L21" i="3"/>
  <c r="M21" i="3"/>
  <c r="L22" i="3"/>
  <c r="M22" i="3"/>
  <c r="M3" i="3"/>
  <c r="L3" i="3"/>
  <c r="I4" i="3"/>
  <c r="J4" i="3" s="1"/>
  <c r="I5" i="3"/>
  <c r="J5" i="3" s="1"/>
  <c r="I6" i="3"/>
  <c r="J6" i="3" s="1"/>
  <c r="I7" i="3"/>
  <c r="J7" i="3" s="1"/>
  <c r="I8" i="3"/>
  <c r="J8" i="3" s="1"/>
  <c r="I9" i="3"/>
  <c r="J9" i="3" s="1"/>
  <c r="I10" i="3"/>
  <c r="J10" i="3" s="1"/>
  <c r="I11" i="3"/>
  <c r="J11" i="3" s="1"/>
  <c r="I12" i="3"/>
  <c r="J12" i="3" s="1"/>
  <c r="I13" i="3"/>
  <c r="J13" i="3" s="1"/>
  <c r="I14" i="3"/>
  <c r="J14" i="3" s="1"/>
  <c r="I15" i="3"/>
  <c r="J15" i="3" s="1"/>
  <c r="I16" i="3"/>
  <c r="J16" i="3" s="1"/>
  <c r="I17" i="3"/>
  <c r="J17" i="3" s="1"/>
  <c r="I18" i="3"/>
  <c r="J18" i="3" s="1"/>
  <c r="I19" i="3"/>
  <c r="J19" i="3" s="1"/>
  <c r="I20" i="3"/>
  <c r="J20" i="3" s="1"/>
  <c r="I21" i="3"/>
  <c r="J21" i="3" s="1"/>
  <c r="I22" i="3"/>
  <c r="J22" i="3" s="1"/>
  <c r="J3" i="3"/>
  <c r="I3" i="3"/>
  <c r="F4" i="3"/>
  <c r="G4" i="3" s="1"/>
  <c r="F5" i="3"/>
  <c r="G5" i="3" s="1"/>
  <c r="F6" i="3"/>
  <c r="G6" i="3" s="1"/>
  <c r="F7" i="3"/>
  <c r="G7" i="3" s="1"/>
  <c r="F8" i="3"/>
  <c r="G8" i="3" s="1"/>
  <c r="F9" i="3"/>
  <c r="G9" i="3" s="1"/>
  <c r="F10" i="3"/>
  <c r="G10" i="3" s="1"/>
  <c r="F11" i="3"/>
  <c r="G11" i="3" s="1"/>
  <c r="F12" i="3"/>
  <c r="G12" i="3" s="1"/>
  <c r="F13" i="3"/>
  <c r="G13" i="3" s="1"/>
  <c r="F14" i="3"/>
  <c r="G14" i="3" s="1"/>
  <c r="F15" i="3"/>
  <c r="G15" i="3" s="1"/>
  <c r="F16" i="3"/>
  <c r="G16" i="3" s="1"/>
  <c r="F17" i="3"/>
  <c r="G17" i="3" s="1"/>
  <c r="F18" i="3"/>
  <c r="G18" i="3" s="1"/>
  <c r="F19" i="3"/>
  <c r="G19" i="3" s="1"/>
  <c r="F20" i="3"/>
  <c r="G20" i="3" s="1"/>
  <c r="F21" i="3"/>
  <c r="G21" i="3" s="1"/>
  <c r="F22" i="3"/>
  <c r="G22" i="3" s="1"/>
  <c r="G3" i="3"/>
  <c r="F3" i="3"/>
  <c r="C4" i="3"/>
  <c r="D4" i="3" s="1"/>
  <c r="C5" i="3"/>
  <c r="D5" i="3" s="1"/>
  <c r="C6" i="3"/>
  <c r="D6" i="3" s="1"/>
  <c r="C7" i="3"/>
  <c r="D7" i="3" s="1"/>
  <c r="C8" i="3"/>
  <c r="D8" i="3" s="1"/>
  <c r="C9" i="3"/>
  <c r="D9" i="3" s="1"/>
  <c r="C10" i="3"/>
  <c r="D10" i="3" s="1"/>
  <c r="C11" i="3"/>
  <c r="D11" i="3" s="1"/>
  <c r="C12" i="3"/>
  <c r="D12" i="3" s="1"/>
  <c r="C13" i="3"/>
  <c r="D13" i="3" s="1"/>
  <c r="C14" i="3"/>
  <c r="D14" i="3" s="1"/>
  <c r="C15" i="3"/>
  <c r="D15" i="3" s="1"/>
  <c r="C16" i="3"/>
  <c r="D16" i="3" s="1"/>
  <c r="C17" i="3"/>
  <c r="D17" i="3" s="1"/>
  <c r="C18" i="3"/>
  <c r="D18" i="3" s="1"/>
  <c r="C19" i="3"/>
  <c r="D19" i="3" s="1"/>
  <c r="C20" i="3"/>
  <c r="D20" i="3" s="1"/>
  <c r="C21" i="3"/>
  <c r="D21" i="3" s="1"/>
  <c r="C22" i="3"/>
  <c r="D22" i="3" s="1"/>
  <c r="D3" i="3"/>
  <c r="C3" i="3"/>
  <c r="B21" i="3"/>
  <c r="E21" i="3"/>
  <c r="H21" i="3"/>
  <c r="K21" i="3"/>
  <c r="B22" i="3"/>
  <c r="E22" i="3"/>
  <c r="H22" i="3"/>
  <c r="K22" i="3"/>
  <c r="B4" i="3"/>
  <c r="E4" i="3"/>
  <c r="H4" i="3"/>
  <c r="K4" i="3"/>
  <c r="B5" i="3"/>
  <c r="E5" i="3"/>
  <c r="H5" i="3"/>
  <c r="K5" i="3"/>
  <c r="B6" i="3"/>
  <c r="E6" i="3"/>
  <c r="H6" i="3"/>
  <c r="K6" i="3"/>
  <c r="B7" i="3"/>
  <c r="E7" i="3"/>
  <c r="H7" i="3"/>
  <c r="K7" i="3"/>
  <c r="B8" i="3"/>
  <c r="E8" i="3"/>
  <c r="H8" i="3"/>
  <c r="K8" i="3"/>
  <c r="B9" i="3"/>
  <c r="E9" i="3"/>
  <c r="H9" i="3"/>
  <c r="K9" i="3"/>
  <c r="B10" i="3"/>
  <c r="E10" i="3"/>
  <c r="H10" i="3"/>
  <c r="K10" i="3"/>
  <c r="B11" i="3"/>
  <c r="E11" i="3"/>
  <c r="H11" i="3"/>
  <c r="K11" i="3"/>
  <c r="B12" i="3"/>
  <c r="E12" i="3"/>
  <c r="H12" i="3"/>
  <c r="K12" i="3"/>
  <c r="B13" i="3"/>
  <c r="E13" i="3"/>
  <c r="H13" i="3"/>
  <c r="K13" i="3"/>
  <c r="B14" i="3"/>
  <c r="E14" i="3"/>
  <c r="H14" i="3"/>
  <c r="K14" i="3"/>
  <c r="B15" i="3"/>
  <c r="E15" i="3"/>
  <c r="H15" i="3"/>
  <c r="K15" i="3"/>
  <c r="B16" i="3"/>
  <c r="E16" i="3"/>
  <c r="H16" i="3"/>
  <c r="K16" i="3"/>
  <c r="B17" i="3"/>
  <c r="E17" i="3"/>
  <c r="H17" i="3"/>
  <c r="K17" i="3"/>
  <c r="B18" i="3"/>
  <c r="E18" i="3"/>
  <c r="H18" i="3"/>
  <c r="K18" i="3"/>
  <c r="B19" i="3"/>
  <c r="E19" i="3"/>
  <c r="H19" i="3"/>
  <c r="K19" i="3"/>
  <c r="B20" i="3"/>
  <c r="E20" i="3"/>
  <c r="H20" i="3"/>
  <c r="K20" i="3"/>
  <c r="E3" i="3"/>
  <c r="H3" i="3"/>
  <c r="K3" i="3"/>
  <c r="B3" i="3"/>
  <c r="N4" i="2"/>
  <c r="N5" i="2"/>
  <c r="N6" i="2"/>
  <c r="N7" i="2"/>
  <c r="N8" i="2"/>
  <c r="N9" i="2"/>
  <c r="N11" i="2"/>
  <c r="N12" i="2"/>
  <c r="N13" i="2"/>
  <c r="N14" i="2"/>
  <c r="N15" i="2"/>
  <c r="N16" i="2"/>
  <c r="N17" i="2"/>
  <c r="N18" i="2"/>
  <c r="N19" i="2"/>
  <c r="N20" i="2"/>
  <c r="N21" i="2"/>
  <c r="N22" i="2"/>
  <c r="N3" i="2"/>
  <c r="M4" i="2"/>
  <c r="M5" i="2"/>
  <c r="M6" i="2"/>
  <c r="M7" i="2"/>
  <c r="M8" i="2"/>
  <c r="M9" i="2"/>
  <c r="M11" i="2"/>
  <c r="M12" i="2"/>
  <c r="M13" i="2"/>
  <c r="M14" i="2"/>
  <c r="M15" i="2"/>
  <c r="M16" i="2"/>
  <c r="M17" i="2"/>
  <c r="M18" i="2"/>
  <c r="M19" i="2"/>
  <c r="M20" i="2"/>
  <c r="M21" i="2"/>
  <c r="M22" i="2"/>
  <c r="M3" i="2"/>
  <c r="K4" i="2"/>
  <c r="K5" i="2"/>
  <c r="K6" i="2"/>
  <c r="K8" i="2"/>
  <c r="K9" i="2"/>
  <c r="K11" i="2"/>
  <c r="K12" i="2"/>
  <c r="K13" i="2"/>
  <c r="K14" i="2"/>
  <c r="K15" i="2"/>
  <c r="K16" i="2"/>
  <c r="K17" i="2"/>
  <c r="K18" i="2"/>
  <c r="K19" i="2"/>
  <c r="K21" i="2"/>
  <c r="K22" i="2"/>
  <c r="K3" i="2"/>
  <c r="J4" i="2"/>
  <c r="J5" i="2"/>
  <c r="J6" i="2"/>
  <c r="J8" i="2"/>
  <c r="J9" i="2"/>
  <c r="J11" i="2"/>
  <c r="J12" i="2"/>
  <c r="J13" i="2"/>
  <c r="J14" i="2"/>
  <c r="J15" i="2"/>
  <c r="J16" i="2"/>
  <c r="J17" i="2"/>
  <c r="J18" i="2"/>
  <c r="J19" i="2"/>
  <c r="J21" i="2"/>
  <c r="J22" i="2"/>
  <c r="J3" i="2"/>
  <c r="H4" i="2"/>
  <c r="H6" i="2"/>
  <c r="H8" i="2"/>
  <c r="H9" i="2"/>
  <c r="H10" i="2"/>
  <c r="H11" i="2"/>
  <c r="H12" i="2"/>
  <c r="H14" i="2"/>
  <c r="H15" i="2"/>
  <c r="H16" i="2"/>
  <c r="H17" i="2"/>
  <c r="H18" i="2"/>
  <c r="H19" i="2"/>
  <c r="H20" i="2"/>
  <c r="H21" i="2"/>
  <c r="H22" i="2"/>
  <c r="H3" i="2"/>
  <c r="G4" i="2"/>
  <c r="G6" i="2"/>
  <c r="G8" i="2"/>
  <c r="G9" i="2"/>
  <c r="G10" i="2"/>
  <c r="G11" i="2"/>
  <c r="G12" i="2"/>
  <c r="G14" i="2"/>
  <c r="G15" i="2"/>
  <c r="G16" i="2"/>
  <c r="G17" i="2"/>
  <c r="G18" i="2"/>
  <c r="G19" i="2"/>
  <c r="G20" i="2"/>
  <c r="G21" i="2"/>
  <c r="G22" i="2"/>
  <c r="G3" i="2"/>
  <c r="F4" i="2"/>
  <c r="I4" i="2"/>
  <c r="L4" i="2"/>
  <c r="I5" i="2"/>
  <c r="L5" i="2"/>
  <c r="F6" i="2"/>
  <c r="I6" i="2"/>
  <c r="L6" i="2"/>
  <c r="L7" i="2"/>
  <c r="F8" i="2"/>
  <c r="I8" i="2"/>
  <c r="L8" i="2"/>
  <c r="F9" i="2"/>
  <c r="I9" i="2"/>
  <c r="L9" i="2"/>
  <c r="F10" i="2"/>
  <c r="F11" i="2"/>
  <c r="I11" i="2"/>
  <c r="L11" i="2"/>
  <c r="F12" i="2"/>
  <c r="I12" i="2"/>
  <c r="L12" i="2"/>
  <c r="I13" i="2"/>
  <c r="L13" i="2"/>
  <c r="F14" i="2"/>
  <c r="I14" i="2"/>
  <c r="L14" i="2"/>
  <c r="F15" i="2"/>
  <c r="I15" i="2"/>
  <c r="L15" i="2"/>
  <c r="F16" i="2"/>
  <c r="I16" i="2"/>
  <c r="L16" i="2"/>
  <c r="F17" i="2"/>
  <c r="I17" i="2"/>
  <c r="L17" i="2"/>
  <c r="F18" i="2"/>
  <c r="I18" i="2"/>
  <c r="L18" i="2"/>
  <c r="F19" i="2"/>
  <c r="I19" i="2"/>
  <c r="L19" i="2"/>
  <c r="F20" i="2"/>
  <c r="L20" i="2"/>
  <c r="F21" i="2"/>
  <c r="I21" i="2"/>
  <c r="L21" i="2"/>
  <c r="F22" i="2"/>
  <c r="I22" i="2"/>
  <c r="L22" i="2"/>
  <c r="I3" i="2"/>
  <c r="L3" i="2"/>
  <c r="F3" i="2"/>
  <c r="A4" i="2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3" i="2"/>
  <c r="C3" i="2"/>
  <c r="D3" i="2"/>
  <c r="C4" i="2"/>
  <c r="D4" i="2"/>
  <c r="C5" i="2"/>
  <c r="D5" i="2"/>
  <c r="C6" i="2"/>
  <c r="D6" i="2"/>
  <c r="D7" i="2"/>
  <c r="C8" i="2"/>
  <c r="D8" i="2"/>
  <c r="C9" i="2"/>
  <c r="D9" i="2"/>
  <c r="C11" i="2"/>
  <c r="D11" i="2"/>
  <c r="C12" i="2"/>
  <c r="D12" i="2"/>
  <c r="C13" i="2"/>
  <c r="D13" i="2"/>
  <c r="C14" i="2"/>
  <c r="D14" i="2"/>
  <c r="C15" i="2"/>
  <c r="D15" i="2"/>
  <c r="C16" i="2"/>
  <c r="D16" i="2"/>
  <c r="C17" i="2"/>
  <c r="D17" i="2"/>
  <c r="C18" i="2"/>
  <c r="D18" i="2"/>
  <c r="C19" i="2"/>
  <c r="D19" i="2"/>
  <c r="D20" i="2"/>
  <c r="C21" i="2"/>
  <c r="D21" i="2"/>
  <c r="C22" i="2"/>
  <c r="D22" i="2"/>
  <c r="B17" i="2"/>
  <c r="B18" i="2"/>
  <c r="B19" i="2"/>
  <c r="B20" i="2"/>
  <c r="B21" i="2"/>
  <c r="B22" i="2"/>
  <c r="B4" i="2"/>
  <c r="B5" i="2"/>
  <c r="F5" i="2" s="1"/>
  <c r="B6" i="2"/>
  <c r="B8" i="2"/>
  <c r="B9" i="2"/>
  <c r="B10" i="2"/>
  <c r="B11" i="2"/>
  <c r="B12" i="2"/>
  <c r="B14" i="2"/>
  <c r="B15" i="2"/>
  <c r="B16" i="2"/>
  <c r="B3" i="2"/>
  <c r="B23" i="1"/>
  <c r="C23" i="1"/>
  <c r="D23" i="1"/>
  <c r="E23" i="1"/>
  <c r="F23" i="1"/>
  <c r="G23" i="1"/>
  <c r="H2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C10" i="2" s="1"/>
  <c r="I10" i="2" s="1"/>
  <c r="J10" i="2" s="1"/>
  <c r="K10" i="2" s="1"/>
  <c r="H11" i="1"/>
  <c r="D10" i="2" s="1"/>
  <c r="L10" i="2" s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B13" i="2" s="1"/>
  <c r="F13" i="2" s="1"/>
  <c r="G13" i="2" s="1"/>
  <c r="H13" i="2" s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C20" i="2" s="1"/>
  <c r="I20" i="2" s="1"/>
  <c r="H21" i="1"/>
  <c r="C22" i="1"/>
  <c r="D22" i="1"/>
  <c r="E22" i="1"/>
  <c r="F22" i="1"/>
  <c r="G22" i="1"/>
  <c r="H22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4" i="1"/>
  <c r="F25" i="1" l="1"/>
  <c r="F24" i="1"/>
  <c r="B7" i="2"/>
  <c r="F7" i="2" s="1"/>
  <c r="G7" i="2" s="1"/>
  <c r="H7" i="2" s="1"/>
  <c r="G25" i="1"/>
  <c r="G24" i="1"/>
  <c r="C7" i="2"/>
  <c r="I7" i="2" s="1"/>
  <c r="J7" i="2" s="1"/>
  <c r="K7" i="2" s="1"/>
  <c r="M10" i="2"/>
  <c r="L24" i="2"/>
  <c r="L26" i="2" s="1"/>
  <c r="J20" i="2"/>
  <c r="G5" i="2"/>
  <c r="Q23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4" i="1"/>
  <c r="F24" i="2" l="1"/>
  <c r="F26" i="2" s="1"/>
  <c r="I24" i="2"/>
  <c r="I26" i="2" s="1"/>
  <c r="M24" i="2"/>
  <c r="M26" i="2" s="1"/>
  <c r="N26" i="2" s="1"/>
  <c r="N10" i="2"/>
  <c r="N24" i="2" s="1"/>
  <c r="K20" i="2"/>
  <c r="K24" i="2" s="1"/>
  <c r="J24" i="2"/>
  <c r="J26" i="2" s="1"/>
  <c r="K26" i="2" s="1"/>
  <c r="G24" i="2"/>
  <c r="G26" i="2" s="1"/>
  <c r="H26" i="2" s="1"/>
  <c r="H5" i="2"/>
  <c r="H24" i="2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</calcChain>
</file>

<file path=xl/sharedStrings.xml><?xml version="1.0" encoding="utf-8"?>
<sst xmlns="http://schemas.openxmlformats.org/spreadsheetml/2006/main" count="89" uniqueCount="34">
  <si>
    <t>No</t>
  </si>
  <si>
    <t>Sudut Theta</t>
  </si>
  <si>
    <t>Waktu Tempuh</t>
  </si>
  <si>
    <t>Keberhasilan</t>
  </si>
  <si>
    <t>Nilai Perhitungan</t>
  </si>
  <si>
    <t>X(cm)</t>
  </si>
  <si>
    <t>Y(cm)</t>
  </si>
  <si>
    <t>Z(cm)</t>
  </si>
  <si>
    <r>
      <t>0(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)</t>
    </r>
  </si>
  <si>
    <t>1(°)</t>
  </si>
  <si>
    <t>2(°)</t>
  </si>
  <si>
    <t>3(°)</t>
  </si>
  <si>
    <t>0(°)</t>
  </si>
  <si>
    <t>Titik Koordinat</t>
  </si>
  <si>
    <t>Nilai Pengujian</t>
  </si>
  <si>
    <t>Titik Koordinat Objek</t>
  </si>
  <si>
    <t>X</t>
  </si>
  <si>
    <t>Y</t>
  </si>
  <si>
    <t>Z</t>
  </si>
  <si>
    <t>Perbandingan</t>
  </si>
  <si>
    <t>Tititk Koordinat</t>
  </si>
  <si>
    <t>x</t>
  </si>
  <si>
    <t>y</t>
  </si>
  <si>
    <t>z</t>
  </si>
  <si>
    <t>Hasil Penjumlahan</t>
  </si>
  <si>
    <t>RMSE</t>
  </si>
  <si>
    <t>MAE</t>
  </si>
  <si>
    <t>MSE</t>
  </si>
  <si>
    <t>Theta 2</t>
  </si>
  <si>
    <t>Theta1</t>
  </si>
  <si>
    <t>Tehta 0</t>
  </si>
  <si>
    <t>Theta 3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</si>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</sst>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/>
    <xf numFmtId="0" fontId="0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X Pengujian</c:v>
          </c:tx>
          <c:invertIfNegative val="0"/>
          <c:val>
            <c:numRef>
              <c:f>Sheet1!$M$4:$M$23</c:f>
              <c:numCache>
                <c:formatCode>General</c:formatCode>
                <c:ptCount val="20"/>
                <c:pt idx="0">
                  <c:v>10.49</c:v>
                </c:pt>
                <c:pt idx="1">
                  <c:v>25.99</c:v>
                </c:pt>
                <c:pt idx="2">
                  <c:v>21.37</c:v>
                </c:pt>
                <c:pt idx="3">
                  <c:v>-15.24</c:v>
                </c:pt>
                <c:pt idx="4">
                  <c:v>-29.05</c:v>
                </c:pt>
                <c:pt idx="5">
                  <c:v>6.75</c:v>
                </c:pt>
                <c:pt idx="6">
                  <c:v>13.6</c:v>
                </c:pt>
                <c:pt idx="7">
                  <c:v>24.56</c:v>
                </c:pt>
                <c:pt idx="8">
                  <c:v>0.25</c:v>
                </c:pt>
                <c:pt idx="9">
                  <c:v>17.420000000000002</c:v>
                </c:pt>
                <c:pt idx="10">
                  <c:v>16.420000000000002</c:v>
                </c:pt>
                <c:pt idx="11">
                  <c:v>8.16</c:v>
                </c:pt>
                <c:pt idx="12">
                  <c:v>7.78</c:v>
                </c:pt>
                <c:pt idx="13">
                  <c:v>-7.71</c:v>
                </c:pt>
                <c:pt idx="14">
                  <c:v>6</c:v>
                </c:pt>
                <c:pt idx="15">
                  <c:v>9.35</c:v>
                </c:pt>
                <c:pt idx="16">
                  <c:v>12.97</c:v>
                </c:pt>
                <c:pt idx="17">
                  <c:v>11.98</c:v>
                </c:pt>
                <c:pt idx="18">
                  <c:v>17.61</c:v>
                </c:pt>
                <c:pt idx="19">
                  <c:v>9.2899999999999991</c:v>
                </c:pt>
              </c:numCache>
            </c:numRef>
          </c:val>
        </c:ser>
        <c:ser>
          <c:idx val="1"/>
          <c:order val="1"/>
          <c:tx>
            <c:v>X Pengukuranl</c:v>
          </c:tx>
          <c:invertIfNegative val="0"/>
          <c:val>
            <c:numRef>
              <c:f>Sheet1!$V$4:$V$23</c:f>
              <c:numCache>
                <c:formatCode>General</c:formatCode>
                <c:ptCount val="20"/>
                <c:pt idx="0">
                  <c:v>10.199999999999999</c:v>
                </c:pt>
                <c:pt idx="1">
                  <c:v>26.5</c:v>
                </c:pt>
                <c:pt idx="2">
                  <c:v>21.6</c:v>
                </c:pt>
                <c:pt idx="3">
                  <c:v>-15</c:v>
                </c:pt>
                <c:pt idx="4">
                  <c:v>-28</c:v>
                </c:pt>
                <c:pt idx="5">
                  <c:v>7</c:v>
                </c:pt>
                <c:pt idx="6">
                  <c:v>12.7</c:v>
                </c:pt>
                <c:pt idx="7">
                  <c:v>25</c:v>
                </c:pt>
                <c:pt idx="8">
                  <c:v>0.3</c:v>
                </c:pt>
                <c:pt idx="9">
                  <c:v>16.5</c:v>
                </c:pt>
                <c:pt idx="10">
                  <c:v>17.5</c:v>
                </c:pt>
                <c:pt idx="11">
                  <c:v>8.5</c:v>
                </c:pt>
                <c:pt idx="12">
                  <c:v>8.1</c:v>
                </c:pt>
                <c:pt idx="13">
                  <c:v>-7.5</c:v>
                </c:pt>
                <c:pt idx="14">
                  <c:v>6.4</c:v>
                </c:pt>
                <c:pt idx="15">
                  <c:v>9.4</c:v>
                </c:pt>
                <c:pt idx="16">
                  <c:v>12.5</c:v>
                </c:pt>
                <c:pt idx="17">
                  <c:v>12.5</c:v>
                </c:pt>
                <c:pt idx="18">
                  <c:v>17</c:v>
                </c:pt>
                <c:pt idx="19">
                  <c:v>9.4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9232512"/>
        <c:axId val="239234048"/>
      </c:barChart>
      <c:catAx>
        <c:axId val="239232512"/>
        <c:scaling>
          <c:orientation val="minMax"/>
        </c:scaling>
        <c:delete val="0"/>
        <c:axPos val="b"/>
        <c:majorTickMark val="out"/>
        <c:minorTickMark val="none"/>
        <c:tickLblPos val="nextTo"/>
        <c:crossAx val="239234048"/>
        <c:crosses val="autoZero"/>
        <c:auto val="1"/>
        <c:lblAlgn val="ctr"/>
        <c:lblOffset val="100"/>
        <c:noMultiLvlLbl val="0"/>
      </c:catAx>
      <c:valAx>
        <c:axId val="2392340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92325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Y Pengujian</c:v>
          </c:tx>
          <c:invertIfNegative val="0"/>
          <c:val>
            <c:numRef>
              <c:f>Sheet1!$N$4:$N$23</c:f>
              <c:numCache>
                <c:formatCode>General</c:formatCode>
                <c:ptCount val="20"/>
                <c:pt idx="0">
                  <c:v>0.11</c:v>
                </c:pt>
                <c:pt idx="1">
                  <c:v>12.72</c:v>
                </c:pt>
                <c:pt idx="2">
                  <c:v>3.13</c:v>
                </c:pt>
                <c:pt idx="3">
                  <c:v>17.62</c:v>
                </c:pt>
                <c:pt idx="4">
                  <c:v>-5.68</c:v>
                </c:pt>
                <c:pt idx="5">
                  <c:v>7.42</c:v>
                </c:pt>
                <c:pt idx="6">
                  <c:v>21.7</c:v>
                </c:pt>
                <c:pt idx="7">
                  <c:v>10.57</c:v>
                </c:pt>
                <c:pt idx="8">
                  <c:v>20</c:v>
                </c:pt>
                <c:pt idx="9">
                  <c:v>10.34</c:v>
                </c:pt>
                <c:pt idx="10">
                  <c:v>8.6</c:v>
                </c:pt>
                <c:pt idx="11">
                  <c:v>22.83</c:v>
                </c:pt>
                <c:pt idx="12">
                  <c:v>-6.28</c:v>
                </c:pt>
                <c:pt idx="13">
                  <c:v>-6.37</c:v>
                </c:pt>
                <c:pt idx="14">
                  <c:v>-8</c:v>
                </c:pt>
                <c:pt idx="15">
                  <c:v>3.55</c:v>
                </c:pt>
                <c:pt idx="16">
                  <c:v>15.27</c:v>
                </c:pt>
                <c:pt idx="17">
                  <c:v>-17.899999999999999</c:v>
                </c:pt>
                <c:pt idx="18">
                  <c:v>-9.4600000000000009</c:v>
                </c:pt>
                <c:pt idx="19">
                  <c:v>3.69</c:v>
                </c:pt>
              </c:numCache>
            </c:numRef>
          </c:val>
        </c:ser>
        <c:ser>
          <c:idx val="1"/>
          <c:order val="1"/>
          <c:tx>
            <c:v>Y Pengukuran</c:v>
          </c:tx>
          <c:invertIfNegative val="0"/>
          <c:val>
            <c:numRef>
              <c:f>Sheet1!$W$4:$W$23</c:f>
              <c:numCache>
                <c:formatCode>General</c:formatCode>
                <c:ptCount val="20"/>
                <c:pt idx="0">
                  <c:v>-0.1</c:v>
                </c:pt>
                <c:pt idx="1">
                  <c:v>12.4</c:v>
                </c:pt>
                <c:pt idx="2">
                  <c:v>2.5</c:v>
                </c:pt>
                <c:pt idx="3">
                  <c:v>16.5</c:v>
                </c:pt>
                <c:pt idx="4">
                  <c:v>-5.2</c:v>
                </c:pt>
                <c:pt idx="5">
                  <c:v>7</c:v>
                </c:pt>
                <c:pt idx="6">
                  <c:v>22.9</c:v>
                </c:pt>
                <c:pt idx="7">
                  <c:v>10</c:v>
                </c:pt>
                <c:pt idx="8">
                  <c:v>20</c:v>
                </c:pt>
                <c:pt idx="9">
                  <c:v>10</c:v>
                </c:pt>
                <c:pt idx="10">
                  <c:v>8.1999999999999993</c:v>
                </c:pt>
                <c:pt idx="11">
                  <c:v>24.1</c:v>
                </c:pt>
                <c:pt idx="12">
                  <c:v>-5.7</c:v>
                </c:pt>
                <c:pt idx="13">
                  <c:v>-6.4</c:v>
                </c:pt>
                <c:pt idx="14">
                  <c:v>-7.6</c:v>
                </c:pt>
                <c:pt idx="15">
                  <c:v>3.4</c:v>
                </c:pt>
                <c:pt idx="16">
                  <c:v>15.3</c:v>
                </c:pt>
                <c:pt idx="17">
                  <c:v>-17.5</c:v>
                </c:pt>
                <c:pt idx="18">
                  <c:v>-10</c:v>
                </c:pt>
                <c:pt idx="19">
                  <c:v>3.4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9250816"/>
        <c:axId val="239264896"/>
      </c:barChart>
      <c:catAx>
        <c:axId val="239250816"/>
        <c:scaling>
          <c:orientation val="minMax"/>
        </c:scaling>
        <c:delete val="0"/>
        <c:axPos val="b"/>
        <c:majorTickMark val="out"/>
        <c:minorTickMark val="none"/>
        <c:tickLblPos val="nextTo"/>
        <c:crossAx val="239264896"/>
        <c:crosses val="autoZero"/>
        <c:auto val="1"/>
        <c:lblAlgn val="ctr"/>
        <c:lblOffset val="100"/>
        <c:noMultiLvlLbl val="0"/>
      </c:catAx>
      <c:valAx>
        <c:axId val="2392648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92508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Z Pengujian</c:v>
          </c:tx>
          <c:invertIfNegative val="0"/>
          <c:val>
            <c:numRef>
              <c:f>Sheet1!$O$4:$O$23</c:f>
              <c:numCache>
                <c:formatCode>General</c:formatCode>
                <c:ptCount val="20"/>
                <c:pt idx="0">
                  <c:v>10</c:v>
                </c:pt>
                <c:pt idx="1">
                  <c:v>15.81</c:v>
                </c:pt>
                <c:pt idx="2">
                  <c:v>17.04</c:v>
                </c:pt>
                <c:pt idx="3">
                  <c:v>23.39</c:v>
                </c:pt>
                <c:pt idx="4">
                  <c:v>15.99</c:v>
                </c:pt>
                <c:pt idx="5">
                  <c:v>20.350000000000001</c:v>
                </c:pt>
                <c:pt idx="6">
                  <c:v>15.96</c:v>
                </c:pt>
                <c:pt idx="7">
                  <c:v>18.37</c:v>
                </c:pt>
                <c:pt idx="8">
                  <c:v>23.91</c:v>
                </c:pt>
                <c:pt idx="9">
                  <c:v>22.76</c:v>
                </c:pt>
                <c:pt idx="10">
                  <c:v>25.83</c:v>
                </c:pt>
                <c:pt idx="11">
                  <c:v>16.920000000000002</c:v>
                </c:pt>
                <c:pt idx="12">
                  <c:v>22.56</c:v>
                </c:pt>
                <c:pt idx="13">
                  <c:v>18.850000000000001</c:v>
                </c:pt>
                <c:pt idx="14">
                  <c:v>16.79</c:v>
                </c:pt>
                <c:pt idx="15">
                  <c:v>17.25</c:v>
                </c:pt>
                <c:pt idx="16">
                  <c:v>25.06</c:v>
                </c:pt>
                <c:pt idx="17">
                  <c:v>18.12</c:v>
                </c:pt>
                <c:pt idx="18">
                  <c:v>19.84</c:v>
                </c:pt>
                <c:pt idx="19">
                  <c:v>17.920000000000002</c:v>
                </c:pt>
              </c:numCache>
            </c:numRef>
          </c:val>
        </c:ser>
        <c:ser>
          <c:idx val="1"/>
          <c:order val="1"/>
          <c:tx>
            <c:v>Z Pengukuran</c:v>
          </c:tx>
          <c:invertIfNegative val="0"/>
          <c:val>
            <c:numRef>
              <c:f>Sheet1!$X$4:$X$23</c:f>
              <c:numCache>
                <c:formatCode>General</c:formatCode>
                <c:ptCount val="20"/>
                <c:pt idx="0">
                  <c:v>10</c:v>
                </c:pt>
                <c:pt idx="1">
                  <c:v>15</c:v>
                </c:pt>
                <c:pt idx="2">
                  <c:v>16.5</c:v>
                </c:pt>
                <c:pt idx="3">
                  <c:v>22</c:v>
                </c:pt>
                <c:pt idx="4">
                  <c:v>15</c:v>
                </c:pt>
                <c:pt idx="5">
                  <c:v>20</c:v>
                </c:pt>
                <c:pt idx="6">
                  <c:v>15</c:v>
                </c:pt>
                <c:pt idx="7">
                  <c:v>17.5</c:v>
                </c:pt>
                <c:pt idx="8">
                  <c:v>22.5</c:v>
                </c:pt>
                <c:pt idx="9">
                  <c:v>20</c:v>
                </c:pt>
                <c:pt idx="10">
                  <c:v>25</c:v>
                </c:pt>
                <c:pt idx="11">
                  <c:v>15</c:v>
                </c:pt>
                <c:pt idx="12">
                  <c:v>21</c:v>
                </c:pt>
                <c:pt idx="13">
                  <c:v>17.5</c:v>
                </c:pt>
                <c:pt idx="14">
                  <c:v>15</c:v>
                </c:pt>
                <c:pt idx="15">
                  <c:v>16.5</c:v>
                </c:pt>
                <c:pt idx="16">
                  <c:v>22.5</c:v>
                </c:pt>
                <c:pt idx="17">
                  <c:v>17.5</c:v>
                </c:pt>
                <c:pt idx="18">
                  <c:v>17.5</c:v>
                </c:pt>
                <c:pt idx="19">
                  <c:v>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9549440"/>
        <c:axId val="239551232"/>
      </c:barChart>
      <c:catAx>
        <c:axId val="239549440"/>
        <c:scaling>
          <c:orientation val="minMax"/>
        </c:scaling>
        <c:delete val="0"/>
        <c:axPos val="b"/>
        <c:majorTickMark val="out"/>
        <c:minorTickMark val="none"/>
        <c:tickLblPos val="nextTo"/>
        <c:crossAx val="239551232"/>
        <c:crosses val="autoZero"/>
        <c:auto val="1"/>
        <c:lblAlgn val="ctr"/>
        <c:lblOffset val="100"/>
        <c:noMultiLvlLbl val="0"/>
      </c:catAx>
      <c:valAx>
        <c:axId val="2395512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95494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0 pengujian</c:v>
          </c:tx>
          <c:invertIfNegative val="0"/>
          <c:val>
            <c:numRef>
              <c:f>Sheet1!$I$4:$I$23</c:f>
              <c:numCache>
                <c:formatCode>General</c:formatCode>
                <c:ptCount val="20"/>
                <c:pt idx="0">
                  <c:v>0.6</c:v>
                </c:pt>
                <c:pt idx="1">
                  <c:v>26.09</c:v>
                </c:pt>
                <c:pt idx="2">
                  <c:v>6.52</c:v>
                </c:pt>
                <c:pt idx="3">
                  <c:v>131.16</c:v>
                </c:pt>
                <c:pt idx="4">
                  <c:v>199.14</c:v>
                </c:pt>
                <c:pt idx="5">
                  <c:v>47.73</c:v>
                </c:pt>
                <c:pt idx="6">
                  <c:v>57.95</c:v>
                </c:pt>
                <c:pt idx="7">
                  <c:v>34.49</c:v>
                </c:pt>
                <c:pt idx="8">
                  <c:v>89.32</c:v>
                </c:pt>
                <c:pt idx="9">
                  <c:v>30.7</c:v>
                </c:pt>
                <c:pt idx="10">
                  <c:v>29.16</c:v>
                </c:pt>
                <c:pt idx="11">
                  <c:v>70.36</c:v>
                </c:pt>
                <c:pt idx="12">
                  <c:v>-39.32</c:v>
                </c:pt>
                <c:pt idx="13">
                  <c:v>219.56</c:v>
                </c:pt>
                <c:pt idx="14">
                  <c:v>-53.15</c:v>
                </c:pt>
                <c:pt idx="15">
                  <c:v>20.8</c:v>
                </c:pt>
                <c:pt idx="16">
                  <c:v>49.68</c:v>
                </c:pt>
                <c:pt idx="17">
                  <c:v>-38.979999999999997</c:v>
                </c:pt>
                <c:pt idx="18">
                  <c:v>-28.24</c:v>
                </c:pt>
                <c:pt idx="19">
                  <c:v>21.67</c:v>
                </c:pt>
              </c:numCache>
            </c:numRef>
          </c:val>
        </c:ser>
        <c:ser>
          <c:idx val="1"/>
          <c:order val="1"/>
          <c:tx>
            <c:v>0 pengukuranl</c:v>
          </c:tx>
          <c:invertIfNegative val="0"/>
          <c:val>
            <c:numRef>
              <c:f>Sheet1!$R$4:$R$23</c:f>
              <c:numCache>
                <c:formatCode>General</c:formatCode>
                <c:ptCount val="20"/>
                <c:pt idx="0">
                  <c:v>-0.56000000000000005</c:v>
                </c:pt>
                <c:pt idx="1">
                  <c:v>25.08</c:v>
                </c:pt>
                <c:pt idx="2">
                  <c:v>6.6</c:v>
                </c:pt>
                <c:pt idx="3">
                  <c:v>133.75</c:v>
                </c:pt>
                <c:pt idx="4">
                  <c:v>192.52</c:v>
                </c:pt>
                <c:pt idx="5">
                  <c:v>45.02</c:v>
                </c:pt>
                <c:pt idx="6">
                  <c:v>61.01</c:v>
                </c:pt>
                <c:pt idx="7">
                  <c:v>28.81</c:v>
                </c:pt>
                <c:pt idx="8">
                  <c:v>89.18</c:v>
                </c:pt>
                <c:pt idx="9">
                  <c:v>31.23</c:v>
                </c:pt>
                <c:pt idx="10">
                  <c:v>25.11</c:v>
                </c:pt>
                <c:pt idx="11">
                  <c:v>70.599999999999994</c:v>
                </c:pt>
                <c:pt idx="12">
                  <c:v>-35.15</c:v>
                </c:pt>
                <c:pt idx="13">
                  <c:v>220.49</c:v>
                </c:pt>
                <c:pt idx="14">
                  <c:v>-49.92</c:v>
                </c:pt>
                <c:pt idx="15">
                  <c:v>19.89</c:v>
                </c:pt>
                <c:pt idx="16">
                  <c:v>50.77</c:v>
                </c:pt>
                <c:pt idx="17">
                  <c:v>-35.549999999999997</c:v>
                </c:pt>
                <c:pt idx="18">
                  <c:v>-30.48</c:v>
                </c:pt>
                <c:pt idx="19">
                  <c:v>19.89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9588480"/>
        <c:axId val="239590016"/>
      </c:barChart>
      <c:catAx>
        <c:axId val="239588480"/>
        <c:scaling>
          <c:orientation val="minMax"/>
        </c:scaling>
        <c:delete val="0"/>
        <c:axPos val="b"/>
        <c:majorTickMark val="out"/>
        <c:minorTickMark val="none"/>
        <c:tickLblPos val="nextTo"/>
        <c:crossAx val="239590016"/>
        <c:crosses val="autoZero"/>
        <c:auto val="1"/>
        <c:lblAlgn val="ctr"/>
        <c:lblOffset val="100"/>
        <c:noMultiLvlLbl val="0"/>
      </c:catAx>
      <c:valAx>
        <c:axId val="2395900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95884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 pengujian</c:v>
          </c:tx>
          <c:invertIfNegative val="0"/>
          <c:val>
            <c:numRef>
              <c:f>Sheet1!$J$4:$J$23</c:f>
              <c:numCache>
                <c:formatCode>General</c:formatCode>
                <c:ptCount val="20"/>
                <c:pt idx="0">
                  <c:v>77.84</c:v>
                </c:pt>
                <c:pt idx="1">
                  <c:v>109.16</c:v>
                </c:pt>
                <c:pt idx="2">
                  <c:v>108.01</c:v>
                </c:pt>
                <c:pt idx="3">
                  <c:v>126.01</c:v>
                </c:pt>
                <c:pt idx="4">
                  <c:v>107.89</c:v>
                </c:pt>
                <c:pt idx="5">
                  <c:v>110.84</c:v>
                </c:pt>
                <c:pt idx="6">
                  <c:v>98.13</c:v>
                </c:pt>
                <c:pt idx="7">
                  <c:v>110.96</c:v>
                </c:pt>
                <c:pt idx="8">
                  <c:v>120.19</c:v>
                </c:pt>
                <c:pt idx="9">
                  <c:v>115.62</c:v>
                </c:pt>
                <c:pt idx="10">
                  <c:v>126.25</c:v>
                </c:pt>
                <c:pt idx="11">
                  <c:v>99.01</c:v>
                </c:pt>
                <c:pt idx="12">
                  <c:v>117.23</c:v>
                </c:pt>
                <c:pt idx="13">
                  <c:v>106.58</c:v>
                </c:pt>
                <c:pt idx="14">
                  <c:v>100.62</c:v>
                </c:pt>
                <c:pt idx="15">
                  <c:v>101.96</c:v>
                </c:pt>
                <c:pt idx="16">
                  <c:v>125.85</c:v>
                </c:pt>
                <c:pt idx="17">
                  <c:v>101.72</c:v>
                </c:pt>
                <c:pt idx="18">
                  <c:v>103.62</c:v>
                </c:pt>
                <c:pt idx="19">
                  <c:v>103.91</c:v>
                </c:pt>
              </c:numCache>
            </c:numRef>
          </c:val>
        </c:ser>
        <c:ser>
          <c:idx val="1"/>
          <c:order val="1"/>
          <c:tx>
            <c:v>1 pengukuran</c:v>
          </c:tx>
          <c:invertIfNegative val="0"/>
          <c:val>
            <c:numRef>
              <c:f>Sheet1!$S$4:$S$23</c:f>
              <c:numCache>
                <c:formatCode>General</c:formatCode>
                <c:ptCount val="20"/>
                <c:pt idx="0">
                  <c:v>78.41</c:v>
                </c:pt>
                <c:pt idx="1">
                  <c:v>106.86</c:v>
                </c:pt>
                <c:pt idx="2">
                  <c:v>94.65</c:v>
                </c:pt>
                <c:pt idx="3">
                  <c:v>115.38</c:v>
                </c:pt>
                <c:pt idx="4">
                  <c:v>102.83</c:v>
                </c:pt>
                <c:pt idx="5">
                  <c:v>100.02</c:v>
                </c:pt>
                <c:pt idx="6">
                  <c:v>96.01</c:v>
                </c:pt>
                <c:pt idx="7">
                  <c:v>107.66</c:v>
                </c:pt>
                <c:pt idx="8">
                  <c:v>114.32</c:v>
                </c:pt>
                <c:pt idx="9">
                  <c:v>104.94</c:v>
                </c:pt>
                <c:pt idx="10">
                  <c:v>124.32</c:v>
                </c:pt>
                <c:pt idx="11">
                  <c:v>94.74</c:v>
                </c:pt>
                <c:pt idx="12">
                  <c:v>112.88</c:v>
                </c:pt>
                <c:pt idx="13">
                  <c:v>102.92</c:v>
                </c:pt>
                <c:pt idx="14">
                  <c:v>95.41</c:v>
                </c:pt>
                <c:pt idx="15">
                  <c:v>99.78</c:v>
                </c:pt>
                <c:pt idx="16">
                  <c:v>114.1</c:v>
                </c:pt>
                <c:pt idx="17">
                  <c:v>97.75</c:v>
                </c:pt>
                <c:pt idx="18">
                  <c:v>96.69</c:v>
                </c:pt>
                <c:pt idx="19">
                  <c:v>95.31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9607168"/>
        <c:axId val="239621248"/>
      </c:barChart>
      <c:catAx>
        <c:axId val="239607168"/>
        <c:scaling>
          <c:orientation val="minMax"/>
        </c:scaling>
        <c:delete val="0"/>
        <c:axPos val="b"/>
        <c:majorTickMark val="out"/>
        <c:minorTickMark val="none"/>
        <c:tickLblPos val="nextTo"/>
        <c:crossAx val="239621248"/>
        <c:crosses val="autoZero"/>
        <c:auto val="1"/>
        <c:lblAlgn val="ctr"/>
        <c:lblOffset val="100"/>
        <c:noMultiLvlLbl val="0"/>
      </c:catAx>
      <c:valAx>
        <c:axId val="2396212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96071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 pengujian</c:v>
          </c:tx>
          <c:invertIfNegative val="0"/>
          <c:val>
            <c:numRef>
              <c:f>Sheet1!$K$4:$K$23</c:f>
              <c:numCache>
                <c:formatCode>General</c:formatCode>
                <c:ptCount val="20"/>
                <c:pt idx="0">
                  <c:v>50.63</c:v>
                </c:pt>
                <c:pt idx="1">
                  <c:v>159.66999999999999</c:v>
                </c:pt>
                <c:pt idx="2">
                  <c:v>120.44</c:v>
                </c:pt>
                <c:pt idx="3">
                  <c:v>160.44</c:v>
                </c:pt>
                <c:pt idx="4">
                  <c:v>121.06</c:v>
                </c:pt>
                <c:pt idx="5">
                  <c:v>95.04</c:v>
                </c:pt>
                <c:pt idx="6">
                  <c:v>129.57</c:v>
                </c:pt>
                <c:pt idx="7">
                  <c:v>152.53</c:v>
                </c:pt>
                <c:pt idx="8">
                  <c:v>137.02000000000001</c:v>
                </c:pt>
                <c:pt idx="9">
                  <c:v>125.8</c:v>
                </c:pt>
                <c:pt idx="10">
                  <c:v>138.07</c:v>
                </c:pt>
                <c:pt idx="11">
                  <c:v>123.79</c:v>
                </c:pt>
                <c:pt idx="12">
                  <c:v>94.75</c:v>
                </c:pt>
                <c:pt idx="13">
                  <c:v>78.78</c:v>
                </c:pt>
                <c:pt idx="14">
                  <c:v>70.959999999999994</c:v>
                </c:pt>
                <c:pt idx="15">
                  <c:v>72.650000000000006</c:v>
                </c:pt>
                <c:pt idx="16">
                  <c:v>148.54</c:v>
                </c:pt>
                <c:pt idx="17">
                  <c:v>123.01</c:v>
                </c:pt>
                <c:pt idx="18">
                  <c:v>114.32</c:v>
                </c:pt>
                <c:pt idx="19">
                  <c:v>75.16</c:v>
                </c:pt>
              </c:numCache>
            </c:numRef>
          </c:val>
        </c:ser>
        <c:ser>
          <c:idx val="1"/>
          <c:order val="1"/>
          <c:tx>
            <c:v>2 pengukuran</c:v>
          </c:tx>
          <c:invertIfNegative val="0"/>
          <c:val>
            <c:numRef>
              <c:f>Sheet1!$T$4:$T$23</c:f>
              <c:numCache>
                <c:formatCode>General</c:formatCode>
                <c:ptCount val="20"/>
                <c:pt idx="0">
                  <c:v>49.82</c:v>
                </c:pt>
                <c:pt idx="1">
                  <c:v>157.91</c:v>
                </c:pt>
                <c:pt idx="2">
                  <c:v>108.96</c:v>
                </c:pt>
                <c:pt idx="3">
                  <c:v>148.41999999999999</c:v>
                </c:pt>
                <c:pt idx="4">
                  <c:v>127.8</c:v>
                </c:pt>
                <c:pt idx="5">
                  <c:v>83.22</c:v>
                </c:pt>
                <c:pt idx="6">
                  <c:v>128.44</c:v>
                </c:pt>
                <c:pt idx="7">
                  <c:v>146.88999999999999</c:v>
                </c:pt>
                <c:pt idx="8">
                  <c:v>127.87</c:v>
                </c:pt>
                <c:pt idx="9">
                  <c:v>111.94</c:v>
                </c:pt>
                <c:pt idx="10">
                  <c:v>141.16800000000001</c:v>
                </c:pt>
                <c:pt idx="11">
                  <c:v>124.28</c:v>
                </c:pt>
                <c:pt idx="12">
                  <c:v>87.46</c:v>
                </c:pt>
                <c:pt idx="13">
                  <c:v>73.28</c:v>
                </c:pt>
                <c:pt idx="14">
                  <c:v>64.489999999999995</c:v>
                </c:pt>
                <c:pt idx="15">
                  <c:v>69.900000000000006</c:v>
                </c:pt>
                <c:pt idx="16">
                  <c:v>126.61</c:v>
                </c:pt>
                <c:pt idx="17">
                  <c:v>111.55</c:v>
                </c:pt>
                <c:pt idx="18">
                  <c:v>103.63</c:v>
                </c:pt>
                <c:pt idx="19">
                  <c:v>64.63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9654400"/>
        <c:axId val="239655936"/>
      </c:barChart>
      <c:catAx>
        <c:axId val="239654400"/>
        <c:scaling>
          <c:orientation val="minMax"/>
        </c:scaling>
        <c:delete val="0"/>
        <c:axPos val="b"/>
        <c:majorTickMark val="out"/>
        <c:minorTickMark val="none"/>
        <c:tickLblPos val="nextTo"/>
        <c:crossAx val="239655936"/>
        <c:crosses val="autoZero"/>
        <c:auto val="1"/>
        <c:lblAlgn val="ctr"/>
        <c:lblOffset val="100"/>
        <c:noMultiLvlLbl val="0"/>
      </c:catAx>
      <c:valAx>
        <c:axId val="2396559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96544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3 pengujian</c:v>
          </c:tx>
          <c:invertIfNegative val="0"/>
          <c:val>
            <c:numRef>
              <c:f>Sheet1!$L$4:$L$23</c:f>
              <c:numCache>
                <c:formatCode>General</c:formatCode>
                <c:ptCount val="20"/>
                <c:pt idx="0">
                  <c:v>182.77</c:v>
                </c:pt>
                <c:pt idx="1">
                  <c:v>140.49</c:v>
                </c:pt>
                <c:pt idx="2">
                  <c:v>128.41999999999999</c:v>
                </c:pt>
                <c:pt idx="3">
                  <c:v>124.42</c:v>
                </c:pt>
                <c:pt idx="4">
                  <c:v>98.96</c:v>
                </c:pt>
                <c:pt idx="5">
                  <c:v>154.1</c:v>
                </c:pt>
                <c:pt idx="6">
                  <c:v>120.28</c:v>
                </c:pt>
                <c:pt idx="7">
                  <c:v>131.56</c:v>
                </c:pt>
                <c:pt idx="8">
                  <c:v>106.78</c:v>
                </c:pt>
                <c:pt idx="9">
                  <c:v>105.17</c:v>
                </c:pt>
                <c:pt idx="10">
                  <c:v>101.81</c:v>
                </c:pt>
                <c:pt idx="11">
                  <c:v>114.77</c:v>
                </c:pt>
                <c:pt idx="12">
                  <c:v>67.52</c:v>
                </c:pt>
                <c:pt idx="13">
                  <c:v>62.2</c:v>
                </c:pt>
                <c:pt idx="14">
                  <c:v>60.33</c:v>
                </c:pt>
                <c:pt idx="15">
                  <c:v>60.69</c:v>
                </c:pt>
                <c:pt idx="16">
                  <c:v>110.69</c:v>
                </c:pt>
                <c:pt idx="17">
                  <c:v>111.3</c:v>
                </c:pt>
                <c:pt idx="18">
                  <c:v>99.69</c:v>
                </c:pt>
                <c:pt idx="19">
                  <c:v>67.25</c:v>
                </c:pt>
              </c:numCache>
            </c:numRef>
          </c:val>
        </c:ser>
        <c:ser>
          <c:idx val="1"/>
          <c:order val="1"/>
          <c:tx>
            <c:v>3 pengukuran</c:v>
          </c:tx>
          <c:invertIfNegative val="0"/>
          <c:val>
            <c:numRef>
              <c:f>Sheet1!$U$4:$U$23</c:f>
              <c:numCache>
                <c:formatCode>General</c:formatCode>
                <c:ptCount val="20"/>
                <c:pt idx="0">
                  <c:v>180.4</c:v>
                </c:pt>
                <c:pt idx="1">
                  <c:v>141.05000000000001</c:v>
                </c:pt>
                <c:pt idx="2">
                  <c:v>114.3</c:v>
                </c:pt>
                <c:pt idx="3">
                  <c:v>113.04</c:v>
                </c:pt>
                <c:pt idx="4">
                  <c:v>104.96</c:v>
                </c:pt>
                <c:pt idx="5">
                  <c:v>163.19</c:v>
                </c:pt>
                <c:pt idx="6">
                  <c:v>122.42</c:v>
                </c:pt>
                <c:pt idx="7">
                  <c:v>129.22</c:v>
                </c:pt>
                <c:pt idx="8">
                  <c:v>103.54</c:v>
                </c:pt>
                <c:pt idx="9">
                  <c:v>97.12</c:v>
                </c:pt>
                <c:pt idx="10">
                  <c:v>106.84</c:v>
                </c:pt>
                <c:pt idx="11">
                  <c:v>119.54</c:v>
                </c:pt>
                <c:pt idx="12">
                  <c:v>64.569999999999993</c:v>
                </c:pt>
                <c:pt idx="13">
                  <c:v>60.36</c:v>
                </c:pt>
                <c:pt idx="14">
                  <c:v>59.07</c:v>
                </c:pt>
                <c:pt idx="15">
                  <c:v>60.11</c:v>
                </c:pt>
                <c:pt idx="16">
                  <c:v>102.5</c:v>
                </c:pt>
                <c:pt idx="17">
                  <c:v>103.8</c:v>
                </c:pt>
                <c:pt idx="18">
                  <c:v>93.93</c:v>
                </c:pt>
                <c:pt idx="19">
                  <c:v>59.32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9676416"/>
        <c:axId val="239686400"/>
      </c:barChart>
      <c:catAx>
        <c:axId val="239676416"/>
        <c:scaling>
          <c:orientation val="minMax"/>
        </c:scaling>
        <c:delete val="0"/>
        <c:axPos val="b"/>
        <c:majorTickMark val="out"/>
        <c:minorTickMark val="none"/>
        <c:tickLblPos val="nextTo"/>
        <c:crossAx val="239686400"/>
        <c:crosses val="autoZero"/>
        <c:auto val="1"/>
        <c:lblAlgn val="ctr"/>
        <c:lblOffset val="100"/>
        <c:noMultiLvlLbl val="0"/>
      </c:catAx>
      <c:valAx>
        <c:axId val="2396864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96764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X</c:v>
          </c:tx>
          <c:invertIfNegative val="0"/>
          <c:val>
            <c:numRef>
              <c:f>Sheet1!$F$4:$F$23</c:f>
              <c:numCache>
                <c:formatCode>General</c:formatCode>
                <c:ptCount val="20"/>
                <c:pt idx="0">
                  <c:v>0.29000000000000092</c:v>
                </c:pt>
                <c:pt idx="1">
                  <c:v>-0.51000000000000156</c:v>
                </c:pt>
                <c:pt idx="2">
                  <c:v>-0.23000000000000043</c:v>
                </c:pt>
                <c:pt idx="3">
                  <c:v>-0.24000000000000021</c:v>
                </c:pt>
                <c:pt idx="4">
                  <c:v>-1.0500000000000007</c:v>
                </c:pt>
                <c:pt idx="5">
                  <c:v>-0.25</c:v>
                </c:pt>
                <c:pt idx="6">
                  <c:v>0.90000000000000036</c:v>
                </c:pt>
                <c:pt idx="7">
                  <c:v>-0.44000000000000128</c:v>
                </c:pt>
                <c:pt idx="8">
                  <c:v>-4.9999999999999989E-2</c:v>
                </c:pt>
                <c:pt idx="9">
                  <c:v>0.92000000000000171</c:v>
                </c:pt>
                <c:pt idx="10">
                  <c:v>-1.0799999999999983</c:v>
                </c:pt>
                <c:pt idx="11">
                  <c:v>-0.33999999999999986</c:v>
                </c:pt>
                <c:pt idx="12">
                  <c:v>-0.3199999999999994</c:v>
                </c:pt>
                <c:pt idx="13">
                  <c:v>-0.20999999999999996</c:v>
                </c:pt>
                <c:pt idx="14">
                  <c:v>-0.40000000000000036</c:v>
                </c:pt>
                <c:pt idx="15">
                  <c:v>-5.0000000000000711E-2</c:v>
                </c:pt>
                <c:pt idx="16">
                  <c:v>0.47000000000000064</c:v>
                </c:pt>
                <c:pt idx="17">
                  <c:v>-0.51999999999999957</c:v>
                </c:pt>
                <c:pt idx="18">
                  <c:v>0.60999999999999943</c:v>
                </c:pt>
                <c:pt idx="19">
                  <c:v>-0.11000000000000121</c:v>
                </c:pt>
              </c:numCache>
            </c:numRef>
          </c:val>
        </c:ser>
        <c:ser>
          <c:idx val="1"/>
          <c:order val="1"/>
          <c:tx>
            <c:v>Y</c:v>
          </c:tx>
          <c:invertIfNegative val="0"/>
          <c:val>
            <c:numRef>
              <c:f>Sheet1!$G$4:$G$23</c:f>
              <c:numCache>
                <c:formatCode>General</c:formatCode>
                <c:ptCount val="20"/>
                <c:pt idx="0">
                  <c:v>0.21000000000000002</c:v>
                </c:pt>
                <c:pt idx="1">
                  <c:v>0.32000000000000028</c:v>
                </c:pt>
                <c:pt idx="2">
                  <c:v>0.62999999999999989</c:v>
                </c:pt>
                <c:pt idx="3">
                  <c:v>1.120000000000001</c:v>
                </c:pt>
                <c:pt idx="4">
                  <c:v>-0.47999999999999954</c:v>
                </c:pt>
                <c:pt idx="5">
                  <c:v>0.41999999999999993</c:v>
                </c:pt>
                <c:pt idx="6">
                  <c:v>-1.1999999999999993</c:v>
                </c:pt>
                <c:pt idx="7">
                  <c:v>0.57000000000000028</c:v>
                </c:pt>
                <c:pt idx="8">
                  <c:v>0</c:v>
                </c:pt>
                <c:pt idx="9">
                  <c:v>0.33999999999999986</c:v>
                </c:pt>
                <c:pt idx="10">
                  <c:v>0.40000000000000036</c:v>
                </c:pt>
                <c:pt idx="11">
                  <c:v>-1.2700000000000031</c:v>
                </c:pt>
                <c:pt idx="12">
                  <c:v>-0.58000000000000007</c:v>
                </c:pt>
                <c:pt idx="13">
                  <c:v>3.0000000000000249E-2</c:v>
                </c:pt>
                <c:pt idx="14">
                  <c:v>-0.40000000000000036</c:v>
                </c:pt>
                <c:pt idx="15">
                  <c:v>0.14999999999999991</c:v>
                </c:pt>
                <c:pt idx="16">
                  <c:v>-3.0000000000001137E-2</c:v>
                </c:pt>
                <c:pt idx="17">
                  <c:v>-0.39999999999999858</c:v>
                </c:pt>
                <c:pt idx="18">
                  <c:v>0.53999999999999915</c:v>
                </c:pt>
                <c:pt idx="19">
                  <c:v>0.29000000000000004</c:v>
                </c:pt>
              </c:numCache>
            </c:numRef>
          </c:val>
        </c:ser>
        <c:ser>
          <c:idx val="2"/>
          <c:order val="2"/>
          <c:tx>
            <c:v>Z</c:v>
          </c:tx>
          <c:invertIfNegative val="0"/>
          <c:val>
            <c:numRef>
              <c:f>Sheet1!$H$4:$H$23</c:f>
              <c:numCache>
                <c:formatCode>General</c:formatCode>
                <c:ptCount val="20"/>
                <c:pt idx="0">
                  <c:v>0</c:v>
                </c:pt>
                <c:pt idx="1">
                  <c:v>0.8100000000000005</c:v>
                </c:pt>
                <c:pt idx="2">
                  <c:v>0.53999999999999915</c:v>
                </c:pt>
                <c:pt idx="3">
                  <c:v>1.3900000000000006</c:v>
                </c:pt>
                <c:pt idx="4">
                  <c:v>0.99000000000000021</c:v>
                </c:pt>
                <c:pt idx="5">
                  <c:v>0.35000000000000142</c:v>
                </c:pt>
                <c:pt idx="6">
                  <c:v>0.96000000000000085</c:v>
                </c:pt>
                <c:pt idx="7">
                  <c:v>0.87000000000000099</c:v>
                </c:pt>
                <c:pt idx="8">
                  <c:v>1.4100000000000001</c:v>
                </c:pt>
                <c:pt idx="9">
                  <c:v>2.7600000000000016</c:v>
                </c:pt>
                <c:pt idx="10">
                  <c:v>0.82999999999999829</c:v>
                </c:pt>
                <c:pt idx="11">
                  <c:v>1.9200000000000017</c:v>
                </c:pt>
                <c:pt idx="12">
                  <c:v>1.5599999999999987</c:v>
                </c:pt>
                <c:pt idx="13">
                  <c:v>1.3500000000000014</c:v>
                </c:pt>
                <c:pt idx="14">
                  <c:v>1.7899999999999991</c:v>
                </c:pt>
                <c:pt idx="15">
                  <c:v>0.75</c:v>
                </c:pt>
                <c:pt idx="16">
                  <c:v>2.5599999999999987</c:v>
                </c:pt>
                <c:pt idx="17">
                  <c:v>0.62000000000000099</c:v>
                </c:pt>
                <c:pt idx="18">
                  <c:v>2.34</c:v>
                </c:pt>
                <c:pt idx="19">
                  <c:v>2.9200000000000017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9706496"/>
        <c:axId val="239708032"/>
      </c:barChart>
      <c:catAx>
        <c:axId val="239706496"/>
        <c:scaling>
          <c:orientation val="minMax"/>
        </c:scaling>
        <c:delete val="0"/>
        <c:axPos val="b"/>
        <c:majorTickMark val="out"/>
        <c:minorTickMark val="none"/>
        <c:tickLblPos val="nextTo"/>
        <c:crossAx val="239708032"/>
        <c:crosses val="autoZero"/>
        <c:auto val="1"/>
        <c:lblAlgn val="ctr"/>
        <c:lblOffset val="100"/>
        <c:noMultiLvlLbl val="0"/>
      </c:catAx>
      <c:valAx>
        <c:axId val="2397080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97064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Theta0</c:v>
          </c:tx>
          <c:invertIfNegative val="0"/>
          <c:val>
            <c:numRef>
              <c:f>Sheet1!$B$4:$B$23</c:f>
              <c:numCache>
                <c:formatCode>General</c:formatCode>
                <c:ptCount val="20"/>
                <c:pt idx="0">
                  <c:v>1.1600000000000001</c:v>
                </c:pt>
                <c:pt idx="1">
                  <c:v>1.0100000000000016</c:v>
                </c:pt>
                <c:pt idx="2">
                  <c:v>-8.0000000000000071E-2</c:v>
                </c:pt>
                <c:pt idx="3">
                  <c:v>-2.5900000000000034</c:v>
                </c:pt>
                <c:pt idx="4">
                  <c:v>6.6199999999999761</c:v>
                </c:pt>
                <c:pt idx="5">
                  <c:v>2.7099999999999937</c:v>
                </c:pt>
                <c:pt idx="6">
                  <c:v>-3.0599999999999952</c:v>
                </c:pt>
                <c:pt idx="7">
                  <c:v>5.6800000000000033</c:v>
                </c:pt>
                <c:pt idx="8">
                  <c:v>0.13999999999998636</c:v>
                </c:pt>
                <c:pt idx="9">
                  <c:v>-0.53000000000000114</c:v>
                </c:pt>
                <c:pt idx="10">
                  <c:v>4.0500000000000007</c:v>
                </c:pt>
                <c:pt idx="11">
                  <c:v>-0.23999999999999488</c:v>
                </c:pt>
                <c:pt idx="12">
                  <c:v>-4.1700000000000017</c:v>
                </c:pt>
                <c:pt idx="13">
                  <c:v>-0.93000000000000682</c:v>
                </c:pt>
                <c:pt idx="14">
                  <c:v>-3.2299999999999969</c:v>
                </c:pt>
                <c:pt idx="15">
                  <c:v>0.91000000000000014</c:v>
                </c:pt>
                <c:pt idx="16">
                  <c:v>-1.0900000000000034</c:v>
                </c:pt>
                <c:pt idx="17">
                  <c:v>-3.4299999999999997</c:v>
                </c:pt>
                <c:pt idx="18">
                  <c:v>2.240000000000002</c:v>
                </c:pt>
                <c:pt idx="19">
                  <c:v>1.7800000000000011</c:v>
                </c:pt>
              </c:numCache>
            </c:numRef>
          </c:val>
        </c:ser>
        <c:ser>
          <c:idx val="1"/>
          <c:order val="1"/>
          <c:tx>
            <c:v>Theta1</c:v>
          </c:tx>
          <c:invertIfNegative val="0"/>
          <c:val>
            <c:numRef>
              <c:f>Sheet1!$C$4:$C$23</c:f>
              <c:numCache>
                <c:formatCode>General</c:formatCode>
                <c:ptCount val="20"/>
                <c:pt idx="0">
                  <c:v>-0.56999999999999318</c:v>
                </c:pt>
                <c:pt idx="1">
                  <c:v>2.2999999999999972</c:v>
                </c:pt>
                <c:pt idx="2">
                  <c:v>13.36</c:v>
                </c:pt>
                <c:pt idx="3">
                  <c:v>10.63000000000001</c:v>
                </c:pt>
                <c:pt idx="4">
                  <c:v>5.0600000000000023</c:v>
                </c:pt>
                <c:pt idx="5">
                  <c:v>10.820000000000007</c:v>
                </c:pt>
                <c:pt idx="6">
                  <c:v>2.1199999999999903</c:v>
                </c:pt>
                <c:pt idx="7">
                  <c:v>3.2999999999999972</c:v>
                </c:pt>
                <c:pt idx="8">
                  <c:v>5.8700000000000045</c:v>
                </c:pt>
                <c:pt idx="9">
                  <c:v>10.680000000000007</c:v>
                </c:pt>
                <c:pt idx="10">
                  <c:v>1.9300000000000068</c:v>
                </c:pt>
                <c:pt idx="11">
                  <c:v>4.2700000000000102</c:v>
                </c:pt>
                <c:pt idx="12">
                  <c:v>4.3500000000000085</c:v>
                </c:pt>
                <c:pt idx="13">
                  <c:v>3.6599999999999966</c:v>
                </c:pt>
                <c:pt idx="14">
                  <c:v>5.210000000000008</c:v>
                </c:pt>
                <c:pt idx="15">
                  <c:v>2.1799999999999926</c:v>
                </c:pt>
                <c:pt idx="16">
                  <c:v>11.75</c:v>
                </c:pt>
                <c:pt idx="17">
                  <c:v>3.9699999999999989</c:v>
                </c:pt>
                <c:pt idx="18">
                  <c:v>6.9300000000000068</c:v>
                </c:pt>
                <c:pt idx="19">
                  <c:v>8.5999999999999943</c:v>
                </c:pt>
              </c:numCache>
            </c:numRef>
          </c:val>
        </c:ser>
        <c:ser>
          <c:idx val="2"/>
          <c:order val="2"/>
          <c:tx>
            <c:v>Theta2</c:v>
          </c:tx>
          <c:invertIfNegative val="0"/>
          <c:val>
            <c:numRef>
              <c:f>Sheet1!$D$4:$D$23</c:f>
              <c:numCache>
                <c:formatCode>General</c:formatCode>
                <c:ptCount val="20"/>
                <c:pt idx="0">
                  <c:v>0.81000000000000227</c:v>
                </c:pt>
                <c:pt idx="1">
                  <c:v>1.7599999999999909</c:v>
                </c:pt>
                <c:pt idx="2">
                  <c:v>11.480000000000004</c:v>
                </c:pt>
                <c:pt idx="3">
                  <c:v>12.02000000000001</c:v>
                </c:pt>
                <c:pt idx="4">
                  <c:v>-6.7399999999999949</c:v>
                </c:pt>
                <c:pt idx="5">
                  <c:v>11.820000000000007</c:v>
                </c:pt>
                <c:pt idx="6">
                  <c:v>1.1299999999999955</c:v>
                </c:pt>
                <c:pt idx="7">
                  <c:v>5.6400000000000148</c:v>
                </c:pt>
                <c:pt idx="8">
                  <c:v>9.1500000000000057</c:v>
                </c:pt>
                <c:pt idx="9">
                  <c:v>13.86</c:v>
                </c:pt>
                <c:pt idx="10">
                  <c:v>-3.0980000000000132</c:v>
                </c:pt>
                <c:pt idx="11">
                  <c:v>-0.48999999999999488</c:v>
                </c:pt>
                <c:pt idx="12">
                  <c:v>7.2900000000000063</c:v>
                </c:pt>
                <c:pt idx="13">
                  <c:v>5.5</c:v>
                </c:pt>
                <c:pt idx="14">
                  <c:v>6.4699999999999989</c:v>
                </c:pt>
                <c:pt idx="15">
                  <c:v>2.75</c:v>
                </c:pt>
                <c:pt idx="16">
                  <c:v>21.929999999999993</c:v>
                </c:pt>
                <c:pt idx="17">
                  <c:v>11.460000000000008</c:v>
                </c:pt>
                <c:pt idx="18">
                  <c:v>10.689999999999998</c:v>
                </c:pt>
                <c:pt idx="19">
                  <c:v>10.530000000000001</c:v>
                </c:pt>
              </c:numCache>
            </c:numRef>
          </c:val>
        </c:ser>
        <c:ser>
          <c:idx val="3"/>
          <c:order val="3"/>
          <c:tx>
            <c:v>Theta3</c:v>
          </c:tx>
          <c:invertIfNegative val="0"/>
          <c:val>
            <c:numRef>
              <c:f>Sheet1!$E$4:$E$23</c:f>
              <c:numCache>
                <c:formatCode>General</c:formatCode>
                <c:ptCount val="20"/>
                <c:pt idx="0">
                  <c:v>2.3700000000000045</c:v>
                </c:pt>
                <c:pt idx="1">
                  <c:v>-0.56000000000000227</c:v>
                </c:pt>
                <c:pt idx="2">
                  <c:v>14.11999999999999</c:v>
                </c:pt>
                <c:pt idx="3">
                  <c:v>11.379999999999995</c:v>
                </c:pt>
                <c:pt idx="4">
                  <c:v>-6</c:v>
                </c:pt>
                <c:pt idx="5">
                  <c:v>-9.0900000000000034</c:v>
                </c:pt>
                <c:pt idx="6">
                  <c:v>-2.1400000000000006</c:v>
                </c:pt>
                <c:pt idx="7">
                  <c:v>2.3400000000000034</c:v>
                </c:pt>
                <c:pt idx="8">
                  <c:v>3.2399999999999949</c:v>
                </c:pt>
                <c:pt idx="9">
                  <c:v>8.0499999999999972</c:v>
                </c:pt>
                <c:pt idx="10">
                  <c:v>-5.0300000000000011</c:v>
                </c:pt>
                <c:pt idx="11">
                  <c:v>-4.7700000000000102</c:v>
                </c:pt>
                <c:pt idx="12">
                  <c:v>2.9500000000000028</c:v>
                </c:pt>
                <c:pt idx="13">
                  <c:v>1.8400000000000034</c:v>
                </c:pt>
                <c:pt idx="14">
                  <c:v>1.259999999999998</c:v>
                </c:pt>
                <c:pt idx="15">
                  <c:v>0.57999999999999829</c:v>
                </c:pt>
                <c:pt idx="16">
                  <c:v>8.1899999999999977</c:v>
                </c:pt>
                <c:pt idx="17">
                  <c:v>7.5</c:v>
                </c:pt>
                <c:pt idx="18">
                  <c:v>5.7599999999999909</c:v>
                </c:pt>
                <c:pt idx="19">
                  <c:v>7.93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9803776"/>
        <c:axId val="239821952"/>
      </c:barChart>
      <c:catAx>
        <c:axId val="239803776"/>
        <c:scaling>
          <c:orientation val="minMax"/>
        </c:scaling>
        <c:delete val="0"/>
        <c:axPos val="b"/>
        <c:majorTickMark val="out"/>
        <c:minorTickMark val="none"/>
        <c:tickLblPos val="nextTo"/>
        <c:crossAx val="239821952"/>
        <c:crosses val="autoZero"/>
        <c:auto val="1"/>
        <c:lblAlgn val="ctr"/>
        <c:lblOffset val="100"/>
        <c:noMultiLvlLbl val="0"/>
      </c:catAx>
      <c:valAx>
        <c:axId val="2398219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98037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0</xdr:row>
      <xdr:rowOff>180975</xdr:rowOff>
    </xdr:from>
    <xdr:to>
      <xdr:col>31</xdr:col>
      <xdr:colOff>314325</xdr:colOff>
      <xdr:row>15</xdr:row>
      <xdr:rowOff>66675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590550</xdr:colOff>
      <xdr:row>15</xdr:row>
      <xdr:rowOff>161925</xdr:rowOff>
    </xdr:from>
    <xdr:to>
      <xdr:col>31</xdr:col>
      <xdr:colOff>285750</xdr:colOff>
      <xdr:row>30</xdr:row>
      <xdr:rowOff>47625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590550</xdr:colOff>
      <xdr:row>30</xdr:row>
      <xdr:rowOff>85725</xdr:rowOff>
    </xdr:from>
    <xdr:to>
      <xdr:col>31</xdr:col>
      <xdr:colOff>285750</xdr:colOff>
      <xdr:row>44</xdr:row>
      <xdr:rowOff>161925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83343</xdr:colOff>
      <xdr:row>60</xdr:row>
      <xdr:rowOff>69057</xdr:rowOff>
    </xdr:from>
    <xdr:to>
      <xdr:col>9</xdr:col>
      <xdr:colOff>440530</xdr:colOff>
      <xdr:row>74</xdr:row>
      <xdr:rowOff>145257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95250</xdr:colOff>
      <xdr:row>45</xdr:row>
      <xdr:rowOff>164306</xdr:rowOff>
    </xdr:from>
    <xdr:to>
      <xdr:col>9</xdr:col>
      <xdr:colOff>547687</xdr:colOff>
      <xdr:row>60</xdr:row>
      <xdr:rowOff>50006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523875</xdr:colOff>
      <xdr:row>45</xdr:row>
      <xdr:rowOff>176213</xdr:rowOff>
    </xdr:from>
    <xdr:to>
      <xdr:col>16</xdr:col>
      <xdr:colOff>392906</xdr:colOff>
      <xdr:row>60</xdr:row>
      <xdr:rowOff>61913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357188</xdr:colOff>
      <xdr:row>46</xdr:row>
      <xdr:rowOff>9525</xdr:rowOff>
    </xdr:from>
    <xdr:to>
      <xdr:col>23</xdr:col>
      <xdr:colOff>571501</xdr:colOff>
      <xdr:row>60</xdr:row>
      <xdr:rowOff>85725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190499</xdr:colOff>
      <xdr:row>30</xdr:row>
      <xdr:rowOff>43543</xdr:rowOff>
    </xdr:from>
    <xdr:to>
      <xdr:col>21</xdr:col>
      <xdr:colOff>435428</xdr:colOff>
      <xdr:row>44</xdr:row>
      <xdr:rowOff>119743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367393</xdr:colOff>
      <xdr:row>32</xdr:row>
      <xdr:rowOff>125185</xdr:rowOff>
    </xdr:from>
    <xdr:to>
      <xdr:col>10</xdr:col>
      <xdr:colOff>449036</xdr:colOff>
      <xdr:row>47</xdr:row>
      <xdr:rowOff>10885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5"/>
  <sheetViews>
    <sheetView tabSelected="1" topLeftCell="B37" zoomScale="70" zoomScaleNormal="70" workbookViewId="0">
      <selection activeCell="L35" sqref="L35"/>
    </sheetView>
  </sheetViews>
  <sheetFormatPr defaultRowHeight="15" x14ac:dyDescent="0.25"/>
  <cols>
    <col min="7" max="7" width="11.140625" customWidth="1"/>
    <col min="8" max="8" width="10.28515625" customWidth="1"/>
    <col min="16" max="16" width="15.85546875" customWidth="1"/>
    <col min="17" max="17" width="12.140625" customWidth="1"/>
  </cols>
  <sheetData>
    <row r="1" spans="1:24" ht="15" customHeight="1" x14ac:dyDescent="0.25">
      <c r="A1" s="17" t="s">
        <v>19</v>
      </c>
      <c r="B1" s="18"/>
      <c r="C1" s="18"/>
      <c r="D1" s="18"/>
      <c r="E1" s="18"/>
      <c r="F1" s="18"/>
      <c r="G1" s="18"/>
      <c r="H1" s="19"/>
      <c r="I1" s="12" t="s">
        <v>14</v>
      </c>
      <c r="J1" s="13"/>
      <c r="K1" s="13"/>
      <c r="L1" s="13"/>
      <c r="M1" s="13"/>
      <c r="N1" s="13"/>
      <c r="O1" s="13"/>
      <c r="P1" s="13"/>
      <c r="Q1" s="14"/>
      <c r="R1" s="11" t="s">
        <v>4</v>
      </c>
      <c r="S1" s="11"/>
      <c r="T1" s="11"/>
      <c r="U1" s="11"/>
      <c r="V1" s="11"/>
      <c r="W1" s="11"/>
      <c r="X1" s="11"/>
    </row>
    <row r="2" spans="1:24" ht="15" customHeight="1" x14ac:dyDescent="0.25">
      <c r="A2" s="15" t="s">
        <v>0</v>
      </c>
      <c r="B2" s="17" t="s">
        <v>1</v>
      </c>
      <c r="C2" s="18"/>
      <c r="D2" s="18"/>
      <c r="E2" s="19"/>
      <c r="F2" s="17" t="s">
        <v>20</v>
      </c>
      <c r="G2" s="18"/>
      <c r="H2" s="19"/>
      <c r="I2" s="12" t="s">
        <v>1</v>
      </c>
      <c r="J2" s="13"/>
      <c r="K2" s="13"/>
      <c r="L2" s="14"/>
      <c r="M2" s="12" t="s">
        <v>13</v>
      </c>
      <c r="N2" s="13"/>
      <c r="O2" s="14"/>
      <c r="P2" s="20" t="s">
        <v>2</v>
      </c>
      <c r="Q2" s="20" t="s">
        <v>3</v>
      </c>
      <c r="R2" s="11" t="s">
        <v>1</v>
      </c>
      <c r="S2" s="11"/>
      <c r="T2" s="11"/>
      <c r="U2" s="11"/>
      <c r="V2" s="12" t="s">
        <v>15</v>
      </c>
      <c r="W2" s="13"/>
      <c r="X2" s="14"/>
    </row>
    <row r="3" spans="1:24" x14ac:dyDescent="0.25">
      <c r="A3" s="16"/>
      <c r="B3" s="3" t="s">
        <v>8</v>
      </c>
      <c r="C3" s="3" t="s">
        <v>9</v>
      </c>
      <c r="D3" s="3" t="s">
        <v>10</v>
      </c>
      <c r="E3" s="3" t="s">
        <v>11</v>
      </c>
      <c r="F3" s="7" t="s">
        <v>16</v>
      </c>
      <c r="G3" s="6" t="s">
        <v>17</v>
      </c>
      <c r="H3" s="6" t="s">
        <v>18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5</v>
      </c>
      <c r="N3" s="1" t="s">
        <v>6</v>
      </c>
      <c r="O3" s="1" t="s">
        <v>7</v>
      </c>
      <c r="P3" s="21"/>
      <c r="Q3" s="21"/>
      <c r="R3" s="1" t="s">
        <v>12</v>
      </c>
      <c r="S3" s="1" t="s">
        <v>9</v>
      </c>
      <c r="T3" s="1" t="s">
        <v>10</v>
      </c>
      <c r="U3" s="1" t="s">
        <v>11</v>
      </c>
      <c r="V3" s="1" t="s">
        <v>5</v>
      </c>
      <c r="W3" s="1" t="s">
        <v>6</v>
      </c>
      <c r="X3" s="1" t="s">
        <v>7</v>
      </c>
    </row>
    <row r="4" spans="1:24" x14ac:dyDescent="0.25">
      <c r="A4" s="2">
        <v>1</v>
      </c>
      <c r="B4" s="2">
        <f>I4-R4</f>
        <v>1.1600000000000001</v>
      </c>
      <c r="C4" s="2">
        <f t="shared" ref="C4:H19" si="0">J4-S4</f>
        <v>-0.56999999999999318</v>
      </c>
      <c r="D4" s="2">
        <f t="shared" si="0"/>
        <v>0.81000000000000227</v>
      </c>
      <c r="E4" s="2">
        <f t="shared" si="0"/>
        <v>2.3700000000000045</v>
      </c>
      <c r="F4" s="2">
        <f t="shared" si="0"/>
        <v>0.29000000000000092</v>
      </c>
      <c r="G4" s="2">
        <f t="shared" si="0"/>
        <v>0.21000000000000002</v>
      </c>
      <c r="H4" s="2">
        <f t="shared" si="0"/>
        <v>0</v>
      </c>
      <c r="I4" s="2">
        <v>0.6</v>
      </c>
      <c r="J4" s="2">
        <v>77.84</v>
      </c>
      <c r="K4" s="2">
        <v>50.63</v>
      </c>
      <c r="L4" s="2">
        <v>182.77</v>
      </c>
      <c r="M4" s="2">
        <v>10.49</v>
      </c>
      <c r="N4" s="2">
        <v>0.11</v>
      </c>
      <c r="O4" s="2">
        <v>10</v>
      </c>
      <c r="P4" s="2">
        <v>23.47</v>
      </c>
      <c r="Q4" s="2" t="str">
        <f>"Berhasil"</f>
        <v>Berhasil</v>
      </c>
      <c r="R4" s="2">
        <v>-0.56000000000000005</v>
      </c>
      <c r="S4" s="2">
        <v>78.41</v>
      </c>
      <c r="T4" s="2">
        <v>49.82</v>
      </c>
      <c r="U4" s="2">
        <v>180.4</v>
      </c>
      <c r="V4" s="2">
        <v>10.199999999999999</v>
      </c>
      <c r="W4" s="2">
        <v>-0.1</v>
      </c>
      <c r="X4" s="2">
        <v>10</v>
      </c>
    </row>
    <row r="5" spans="1:24" x14ac:dyDescent="0.25">
      <c r="A5" s="2">
        <f>SUM(A4+1)</f>
        <v>2</v>
      </c>
      <c r="B5" s="2">
        <f t="shared" ref="B5:B22" si="1">I5-R5</f>
        <v>1.0100000000000016</v>
      </c>
      <c r="C5" s="2">
        <f t="shared" si="0"/>
        <v>2.2999999999999972</v>
      </c>
      <c r="D5" s="2">
        <f t="shared" si="0"/>
        <v>1.7599999999999909</v>
      </c>
      <c r="E5" s="2">
        <f t="shared" si="0"/>
        <v>-0.56000000000000227</v>
      </c>
      <c r="F5" s="2">
        <f t="shared" si="0"/>
        <v>-0.51000000000000156</v>
      </c>
      <c r="G5" s="2">
        <f t="shared" si="0"/>
        <v>0.32000000000000028</v>
      </c>
      <c r="H5" s="2">
        <f t="shared" si="0"/>
        <v>0.8100000000000005</v>
      </c>
      <c r="I5" s="2">
        <v>26.09</v>
      </c>
      <c r="J5" s="2">
        <v>109.16</v>
      </c>
      <c r="K5" s="2">
        <v>159.66999999999999</v>
      </c>
      <c r="L5" s="2">
        <v>140.49</v>
      </c>
      <c r="M5" s="2">
        <v>25.99</v>
      </c>
      <c r="N5" s="2">
        <v>12.72</v>
      </c>
      <c r="O5" s="2">
        <v>15.81</v>
      </c>
      <c r="P5" s="2">
        <v>20.68</v>
      </c>
      <c r="Q5" s="2" t="str">
        <f t="shared" ref="Q5:Q23" si="2">"Berhasil"</f>
        <v>Berhasil</v>
      </c>
      <c r="R5" s="2">
        <v>25.08</v>
      </c>
      <c r="S5" s="2">
        <v>106.86</v>
      </c>
      <c r="T5" s="2">
        <v>157.91</v>
      </c>
      <c r="U5" s="2">
        <v>141.05000000000001</v>
      </c>
      <c r="V5" s="2">
        <v>26.5</v>
      </c>
      <c r="W5" s="2">
        <v>12.4</v>
      </c>
      <c r="X5" s="2">
        <v>15</v>
      </c>
    </row>
    <row r="6" spans="1:24" x14ac:dyDescent="0.25">
      <c r="A6" s="2">
        <f t="shared" ref="A6:A23" si="3">SUM(A5+1)</f>
        <v>3</v>
      </c>
      <c r="B6" s="2">
        <f t="shared" si="1"/>
        <v>-8.0000000000000071E-2</v>
      </c>
      <c r="C6" s="2">
        <f t="shared" si="0"/>
        <v>13.36</v>
      </c>
      <c r="D6" s="2">
        <f t="shared" si="0"/>
        <v>11.480000000000004</v>
      </c>
      <c r="E6" s="2">
        <f t="shared" si="0"/>
        <v>14.11999999999999</v>
      </c>
      <c r="F6" s="2">
        <f t="shared" si="0"/>
        <v>-0.23000000000000043</v>
      </c>
      <c r="G6" s="2">
        <f t="shared" si="0"/>
        <v>0.62999999999999989</v>
      </c>
      <c r="H6" s="2">
        <f t="shared" si="0"/>
        <v>0.53999999999999915</v>
      </c>
      <c r="I6" s="2">
        <v>6.52</v>
      </c>
      <c r="J6" s="2">
        <v>108.01</v>
      </c>
      <c r="K6" s="2">
        <v>120.44</v>
      </c>
      <c r="L6" s="2">
        <v>128.41999999999999</v>
      </c>
      <c r="M6" s="2">
        <v>21.37</v>
      </c>
      <c r="N6" s="2">
        <v>3.13</v>
      </c>
      <c r="O6" s="2">
        <v>17.04</v>
      </c>
      <c r="P6" s="2">
        <v>24.92</v>
      </c>
      <c r="Q6" s="2" t="str">
        <f t="shared" si="2"/>
        <v>Berhasil</v>
      </c>
      <c r="R6" s="2">
        <v>6.6</v>
      </c>
      <c r="S6" s="2">
        <v>94.65</v>
      </c>
      <c r="T6" s="2">
        <v>108.96</v>
      </c>
      <c r="U6" s="2">
        <v>114.3</v>
      </c>
      <c r="V6" s="2">
        <v>21.6</v>
      </c>
      <c r="W6" s="2">
        <v>2.5</v>
      </c>
      <c r="X6" s="2">
        <v>16.5</v>
      </c>
    </row>
    <row r="7" spans="1:24" x14ac:dyDescent="0.25">
      <c r="A7" s="2">
        <f t="shared" si="3"/>
        <v>4</v>
      </c>
      <c r="B7" s="2">
        <f t="shared" si="1"/>
        <v>-2.5900000000000034</v>
      </c>
      <c r="C7" s="2">
        <f t="shared" si="0"/>
        <v>10.63000000000001</v>
      </c>
      <c r="D7" s="2">
        <f t="shared" si="0"/>
        <v>12.02000000000001</v>
      </c>
      <c r="E7" s="2">
        <f t="shared" si="0"/>
        <v>11.379999999999995</v>
      </c>
      <c r="F7" s="2">
        <f t="shared" si="0"/>
        <v>-0.24000000000000021</v>
      </c>
      <c r="G7" s="2">
        <f t="shared" si="0"/>
        <v>1.120000000000001</v>
      </c>
      <c r="H7" s="2">
        <f t="shared" si="0"/>
        <v>1.3900000000000006</v>
      </c>
      <c r="I7" s="2">
        <v>131.16</v>
      </c>
      <c r="J7" s="2">
        <v>126.01</v>
      </c>
      <c r="K7" s="2">
        <v>160.44</v>
      </c>
      <c r="L7" s="2">
        <v>124.42</v>
      </c>
      <c r="M7" s="2">
        <v>-15.24</v>
      </c>
      <c r="N7" s="2">
        <v>17.62</v>
      </c>
      <c r="O7" s="2">
        <v>23.39</v>
      </c>
      <c r="P7" s="2">
        <v>22.11</v>
      </c>
      <c r="Q7" s="2" t="str">
        <f t="shared" si="2"/>
        <v>Berhasil</v>
      </c>
      <c r="R7" s="2">
        <v>133.75</v>
      </c>
      <c r="S7" s="2">
        <v>115.38</v>
      </c>
      <c r="T7" s="2">
        <v>148.41999999999999</v>
      </c>
      <c r="U7" s="2">
        <v>113.04</v>
      </c>
      <c r="V7" s="2">
        <v>-15</v>
      </c>
      <c r="W7" s="2">
        <v>16.5</v>
      </c>
      <c r="X7" s="2">
        <v>22</v>
      </c>
    </row>
    <row r="8" spans="1:24" x14ac:dyDescent="0.25">
      <c r="A8" s="2">
        <f t="shared" si="3"/>
        <v>5</v>
      </c>
      <c r="B8" s="2">
        <f t="shared" si="1"/>
        <v>6.6199999999999761</v>
      </c>
      <c r="C8" s="2">
        <f t="shared" si="0"/>
        <v>5.0600000000000023</v>
      </c>
      <c r="D8" s="2">
        <f t="shared" si="0"/>
        <v>-6.7399999999999949</v>
      </c>
      <c r="E8" s="2">
        <f t="shared" si="0"/>
        <v>-6</v>
      </c>
      <c r="F8" s="2">
        <f t="shared" si="0"/>
        <v>-1.0500000000000007</v>
      </c>
      <c r="G8" s="2">
        <f t="shared" si="0"/>
        <v>-0.47999999999999954</v>
      </c>
      <c r="H8" s="2">
        <f t="shared" si="0"/>
        <v>0.99000000000000021</v>
      </c>
      <c r="I8" s="2">
        <v>199.14</v>
      </c>
      <c r="J8" s="2">
        <v>107.89</v>
      </c>
      <c r="K8" s="2">
        <v>121.06</v>
      </c>
      <c r="L8" s="2">
        <v>98.96</v>
      </c>
      <c r="M8" s="2">
        <v>-29.05</v>
      </c>
      <c r="N8" s="2">
        <v>-5.68</v>
      </c>
      <c r="O8" s="2">
        <v>15.99</v>
      </c>
      <c r="P8" s="2">
        <v>21.75</v>
      </c>
      <c r="Q8" s="2" t="str">
        <f t="shared" si="2"/>
        <v>Berhasil</v>
      </c>
      <c r="R8" s="2">
        <v>192.52</v>
      </c>
      <c r="S8" s="2">
        <v>102.83</v>
      </c>
      <c r="T8" s="2">
        <v>127.8</v>
      </c>
      <c r="U8" s="2">
        <v>104.96</v>
      </c>
      <c r="V8" s="2">
        <v>-28</v>
      </c>
      <c r="W8" s="2">
        <v>-5.2</v>
      </c>
      <c r="X8" s="2">
        <v>15</v>
      </c>
    </row>
    <row r="9" spans="1:24" x14ac:dyDescent="0.25">
      <c r="A9" s="2">
        <f t="shared" si="3"/>
        <v>6</v>
      </c>
      <c r="B9" s="2">
        <f t="shared" si="1"/>
        <v>2.7099999999999937</v>
      </c>
      <c r="C9" s="2">
        <f t="shared" si="0"/>
        <v>10.820000000000007</v>
      </c>
      <c r="D9" s="2">
        <f t="shared" si="0"/>
        <v>11.820000000000007</v>
      </c>
      <c r="E9" s="2">
        <f t="shared" si="0"/>
        <v>-9.0900000000000034</v>
      </c>
      <c r="F9" s="2">
        <f t="shared" si="0"/>
        <v>-0.25</v>
      </c>
      <c r="G9" s="2">
        <f t="shared" si="0"/>
        <v>0.41999999999999993</v>
      </c>
      <c r="H9" s="2">
        <f t="shared" si="0"/>
        <v>0.35000000000000142</v>
      </c>
      <c r="I9" s="2">
        <v>47.73</v>
      </c>
      <c r="J9" s="2">
        <v>110.84</v>
      </c>
      <c r="K9" s="2">
        <v>95.04</v>
      </c>
      <c r="L9" s="2">
        <v>154.1</v>
      </c>
      <c r="M9" s="2">
        <v>6.75</v>
      </c>
      <c r="N9" s="2">
        <v>7.42</v>
      </c>
      <c r="O9" s="2">
        <v>20.350000000000001</v>
      </c>
      <c r="P9" s="2">
        <v>24.06</v>
      </c>
      <c r="Q9" s="2" t="str">
        <f t="shared" si="2"/>
        <v>Berhasil</v>
      </c>
      <c r="R9" s="2">
        <v>45.02</v>
      </c>
      <c r="S9" s="2">
        <v>100.02</v>
      </c>
      <c r="T9" s="2">
        <v>83.22</v>
      </c>
      <c r="U9" s="2">
        <v>163.19</v>
      </c>
      <c r="V9" s="2">
        <v>7</v>
      </c>
      <c r="W9" s="2">
        <v>7</v>
      </c>
      <c r="X9" s="2">
        <v>20</v>
      </c>
    </row>
    <row r="10" spans="1:24" x14ac:dyDescent="0.25">
      <c r="A10" s="2">
        <f t="shared" si="3"/>
        <v>7</v>
      </c>
      <c r="B10" s="2">
        <f t="shared" si="1"/>
        <v>-3.0599999999999952</v>
      </c>
      <c r="C10" s="2">
        <f t="shared" si="0"/>
        <v>2.1199999999999903</v>
      </c>
      <c r="D10" s="2">
        <f t="shared" si="0"/>
        <v>1.1299999999999955</v>
      </c>
      <c r="E10" s="2">
        <f t="shared" si="0"/>
        <v>-2.1400000000000006</v>
      </c>
      <c r="F10" s="2">
        <f t="shared" si="0"/>
        <v>0.90000000000000036</v>
      </c>
      <c r="G10" s="2">
        <f t="shared" si="0"/>
        <v>-1.1999999999999993</v>
      </c>
      <c r="H10" s="2">
        <f t="shared" si="0"/>
        <v>0.96000000000000085</v>
      </c>
      <c r="I10" s="2">
        <v>57.95</v>
      </c>
      <c r="J10" s="2">
        <v>98.13</v>
      </c>
      <c r="K10" s="2">
        <v>129.57</v>
      </c>
      <c r="L10" s="2">
        <v>120.28</v>
      </c>
      <c r="M10" s="2">
        <v>13.6</v>
      </c>
      <c r="N10" s="2">
        <v>21.7</v>
      </c>
      <c r="O10" s="2">
        <v>15.96</v>
      </c>
      <c r="P10" s="2">
        <v>22.84</v>
      </c>
      <c r="Q10" s="2" t="str">
        <f t="shared" si="2"/>
        <v>Berhasil</v>
      </c>
      <c r="R10" s="2">
        <v>61.01</v>
      </c>
      <c r="S10" s="2">
        <v>96.01</v>
      </c>
      <c r="T10" s="2">
        <v>128.44</v>
      </c>
      <c r="U10" s="2">
        <v>122.42</v>
      </c>
      <c r="V10" s="2">
        <v>12.7</v>
      </c>
      <c r="W10" s="2">
        <v>22.9</v>
      </c>
      <c r="X10" s="2">
        <v>15</v>
      </c>
    </row>
    <row r="11" spans="1:24" x14ac:dyDescent="0.25">
      <c r="A11" s="2">
        <f t="shared" si="3"/>
        <v>8</v>
      </c>
      <c r="B11" s="2">
        <f t="shared" si="1"/>
        <v>5.6800000000000033</v>
      </c>
      <c r="C11" s="2">
        <f t="shared" si="0"/>
        <v>3.2999999999999972</v>
      </c>
      <c r="D11" s="2">
        <f t="shared" si="0"/>
        <v>5.6400000000000148</v>
      </c>
      <c r="E11" s="2">
        <f t="shared" si="0"/>
        <v>2.3400000000000034</v>
      </c>
      <c r="F11" s="2">
        <f t="shared" si="0"/>
        <v>-0.44000000000000128</v>
      </c>
      <c r="G11" s="2">
        <f t="shared" si="0"/>
        <v>0.57000000000000028</v>
      </c>
      <c r="H11" s="2">
        <f t="shared" si="0"/>
        <v>0.87000000000000099</v>
      </c>
      <c r="I11" s="2">
        <v>34.49</v>
      </c>
      <c r="J11" s="2">
        <v>110.96</v>
      </c>
      <c r="K11" s="2">
        <v>152.53</v>
      </c>
      <c r="L11" s="2">
        <v>131.56</v>
      </c>
      <c r="M11" s="2">
        <v>24.56</v>
      </c>
      <c r="N11" s="2">
        <v>10.57</v>
      </c>
      <c r="O11" s="2">
        <v>18.37</v>
      </c>
      <c r="P11" s="2">
        <v>20.329999999999998</v>
      </c>
      <c r="Q11" s="2" t="str">
        <f t="shared" si="2"/>
        <v>Berhasil</v>
      </c>
      <c r="R11" s="2">
        <v>28.81</v>
      </c>
      <c r="S11" s="2">
        <v>107.66</v>
      </c>
      <c r="T11" s="2">
        <v>146.88999999999999</v>
      </c>
      <c r="U11" s="2">
        <v>129.22</v>
      </c>
      <c r="V11" s="2">
        <v>25</v>
      </c>
      <c r="W11" s="2">
        <v>10</v>
      </c>
      <c r="X11" s="5">
        <v>17.5</v>
      </c>
    </row>
    <row r="12" spans="1:24" x14ac:dyDescent="0.25">
      <c r="A12" s="2">
        <f t="shared" si="3"/>
        <v>9</v>
      </c>
      <c r="B12" s="2">
        <f t="shared" si="1"/>
        <v>0.13999999999998636</v>
      </c>
      <c r="C12" s="2">
        <f t="shared" si="0"/>
        <v>5.8700000000000045</v>
      </c>
      <c r="D12" s="2">
        <f t="shared" si="0"/>
        <v>9.1500000000000057</v>
      </c>
      <c r="E12" s="2">
        <f t="shared" si="0"/>
        <v>3.2399999999999949</v>
      </c>
      <c r="F12" s="2">
        <f t="shared" si="0"/>
        <v>-4.9999999999999989E-2</v>
      </c>
      <c r="G12" s="2">
        <f t="shared" si="0"/>
        <v>0</v>
      </c>
      <c r="H12" s="2">
        <f t="shared" si="0"/>
        <v>1.4100000000000001</v>
      </c>
      <c r="I12" s="2">
        <v>89.32</v>
      </c>
      <c r="J12" s="2">
        <v>120.19</v>
      </c>
      <c r="K12" s="2">
        <v>137.02000000000001</v>
      </c>
      <c r="L12" s="2">
        <v>106.78</v>
      </c>
      <c r="M12" s="2">
        <v>0.25</v>
      </c>
      <c r="N12" s="2">
        <v>20</v>
      </c>
      <c r="O12" s="2">
        <v>23.91</v>
      </c>
      <c r="P12" s="2">
        <v>23.59</v>
      </c>
      <c r="Q12" s="2" t="str">
        <f t="shared" si="2"/>
        <v>Berhasil</v>
      </c>
      <c r="R12" s="2">
        <v>89.18</v>
      </c>
      <c r="S12" s="2">
        <v>114.32</v>
      </c>
      <c r="T12" s="2">
        <v>127.87</v>
      </c>
      <c r="U12" s="2">
        <v>103.54</v>
      </c>
      <c r="V12" s="2">
        <v>0.3</v>
      </c>
      <c r="W12" s="2">
        <v>20</v>
      </c>
      <c r="X12" s="2">
        <v>22.5</v>
      </c>
    </row>
    <row r="13" spans="1:24" x14ac:dyDescent="0.25">
      <c r="A13" s="2">
        <f t="shared" si="3"/>
        <v>10</v>
      </c>
      <c r="B13" s="2">
        <f t="shared" si="1"/>
        <v>-0.53000000000000114</v>
      </c>
      <c r="C13" s="2">
        <f t="shared" si="0"/>
        <v>10.680000000000007</v>
      </c>
      <c r="D13" s="2">
        <f t="shared" si="0"/>
        <v>13.86</v>
      </c>
      <c r="E13" s="2">
        <f t="shared" si="0"/>
        <v>8.0499999999999972</v>
      </c>
      <c r="F13" s="2">
        <f t="shared" si="0"/>
        <v>0.92000000000000171</v>
      </c>
      <c r="G13" s="2">
        <f t="shared" si="0"/>
        <v>0.33999999999999986</v>
      </c>
      <c r="H13" s="2">
        <f t="shared" si="0"/>
        <v>2.7600000000000016</v>
      </c>
      <c r="I13" s="2">
        <v>30.7</v>
      </c>
      <c r="J13" s="2">
        <v>115.62</v>
      </c>
      <c r="K13" s="2">
        <v>125.8</v>
      </c>
      <c r="L13" s="2">
        <v>105.17</v>
      </c>
      <c r="M13" s="2">
        <v>17.420000000000002</v>
      </c>
      <c r="N13" s="2">
        <v>10.34</v>
      </c>
      <c r="O13" s="2">
        <v>22.76</v>
      </c>
      <c r="P13" s="2">
        <v>21.48</v>
      </c>
      <c r="Q13" s="2" t="str">
        <f t="shared" si="2"/>
        <v>Berhasil</v>
      </c>
      <c r="R13" s="2">
        <v>31.23</v>
      </c>
      <c r="S13" s="2">
        <v>104.94</v>
      </c>
      <c r="T13" s="2">
        <v>111.94</v>
      </c>
      <c r="U13" s="2">
        <v>97.12</v>
      </c>
      <c r="V13" s="5">
        <v>16.5</v>
      </c>
      <c r="W13" s="2">
        <v>10</v>
      </c>
      <c r="X13" s="2">
        <v>20</v>
      </c>
    </row>
    <row r="14" spans="1:24" x14ac:dyDescent="0.25">
      <c r="A14" s="2">
        <f t="shared" si="3"/>
        <v>11</v>
      </c>
      <c r="B14" s="2">
        <f t="shared" si="1"/>
        <v>4.0500000000000007</v>
      </c>
      <c r="C14" s="2">
        <f t="shared" si="0"/>
        <v>1.9300000000000068</v>
      </c>
      <c r="D14" s="2">
        <f t="shared" si="0"/>
        <v>-3.0980000000000132</v>
      </c>
      <c r="E14" s="2">
        <f t="shared" si="0"/>
        <v>-5.0300000000000011</v>
      </c>
      <c r="F14" s="2">
        <f t="shared" si="0"/>
        <v>-1.0799999999999983</v>
      </c>
      <c r="G14" s="2">
        <f t="shared" si="0"/>
        <v>0.40000000000000036</v>
      </c>
      <c r="H14" s="2">
        <f t="shared" si="0"/>
        <v>0.82999999999999829</v>
      </c>
      <c r="I14" s="2">
        <v>29.16</v>
      </c>
      <c r="J14" s="2">
        <v>126.25</v>
      </c>
      <c r="K14" s="4">
        <v>138.07</v>
      </c>
      <c r="L14" s="2">
        <v>101.81</v>
      </c>
      <c r="M14" s="2">
        <v>16.420000000000002</v>
      </c>
      <c r="N14" s="2">
        <v>8.6</v>
      </c>
      <c r="O14" s="2">
        <v>25.83</v>
      </c>
      <c r="P14" s="2">
        <v>24.77</v>
      </c>
      <c r="Q14" s="2" t="str">
        <f t="shared" si="2"/>
        <v>Berhasil</v>
      </c>
      <c r="R14" s="2">
        <v>25.11</v>
      </c>
      <c r="S14" s="2">
        <v>124.32</v>
      </c>
      <c r="T14" s="2">
        <v>141.16800000000001</v>
      </c>
      <c r="U14" s="2">
        <v>106.84</v>
      </c>
      <c r="V14" s="2">
        <v>17.5</v>
      </c>
      <c r="W14" s="2">
        <v>8.1999999999999993</v>
      </c>
      <c r="X14" s="2">
        <v>25</v>
      </c>
    </row>
    <row r="15" spans="1:24" x14ac:dyDescent="0.25">
      <c r="A15" s="2">
        <f t="shared" si="3"/>
        <v>12</v>
      </c>
      <c r="B15" s="2">
        <f t="shared" si="1"/>
        <v>-0.23999999999999488</v>
      </c>
      <c r="C15" s="2">
        <f t="shared" si="0"/>
        <v>4.2700000000000102</v>
      </c>
      <c r="D15" s="2">
        <f t="shared" si="0"/>
        <v>-0.48999999999999488</v>
      </c>
      <c r="E15" s="2">
        <f t="shared" si="0"/>
        <v>-4.7700000000000102</v>
      </c>
      <c r="F15" s="2">
        <f t="shared" si="0"/>
        <v>-0.33999999999999986</v>
      </c>
      <c r="G15" s="2">
        <f t="shared" si="0"/>
        <v>-1.2700000000000031</v>
      </c>
      <c r="H15" s="2">
        <f t="shared" si="0"/>
        <v>1.9200000000000017</v>
      </c>
      <c r="I15" s="2">
        <v>70.36</v>
      </c>
      <c r="J15" s="2">
        <v>99.01</v>
      </c>
      <c r="K15" s="2">
        <v>123.79</v>
      </c>
      <c r="L15" s="2">
        <v>114.77</v>
      </c>
      <c r="M15" s="2">
        <v>8.16</v>
      </c>
      <c r="N15" s="2">
        <v>22.83</v>
      </c>
      <c r="O15" s="2">
        <v>16.920000000000002</v>
      </c>
      <c r="P15" s="2">
        <v>22.39</v>
      </c>
      <c r="Q15" s="2" t="str">
        <f t="shared" si="2"/>
        <v>Berhasil</v>
      </c>
      <c r="R15" s="2">
        <v>70.599999999999994</v>
      </c>
      <c r="S15" s="2">
        <v>94.74</v>
      </c>
      <c r="T15" s="2">
        <v>124.28</v>
      </c>
      <c r="U15" s="2">
        <v>119.54</v>
      </c>
      <c r="V15" s="2">
        <v>8.5</v>
      </c>
      <c r="W15" s="2">
        <v>24.1</v>
      </c>
      <c r="X15" s="2">
        <v>15</v>
      </c>
    </row>
    <row r="16" spans="1:24" x14ac:dyDescent="0.25">
      <c r="A16" s="2">
        <f t="shared" si="3"/>
        <v>13</v>
      </c>
      <c r="B16" s="2">
        <f t="shared" si="1"/>
        <v>-4.1700000000000017</v>
      </c>
      <c r="C16" s="2">
        <f t="shared" si="0"/>
        <v>4.3500000000000085</v>
      </c>
      <c r="D16" s="2">
        <f t="shared" si="0"/>
        <v>7.2900000000000063</v>
      </c>
      <c r="E16" s="2">
        <f t="shared" si="0"/>
        <v>2.9500000000000028</v>
      </c>
      <c r="F16" s="2">
        <f t="shared" si="0"/>
        <v>-0.3199999999999994</v>
      </c>
      <c r="G16" s="2">
        <f t="shared" si="0"/>
        <v>-0.58000000000000007</v>
      </c>
      <c r="H16" s="2">
        <f t="shared" si="0"/>
        <v>1.5599999999999987</v>
      </c>
      <c r="I16" s="2">
        <v>-39.32</v>
      </c>
      <c r="J16" s="2">
        <v>117.23</v>
      </c>
      <c r="K16" s="2">
        <v>94.75</v>
      </c>
      <c r="L16" s="2">
        <v>67.52</v>
      </c>
      <c r="M16" s="2">
        <v>7.78</v>
      </c>
      <c r="N16" s="2">
        <v>-6.28</v>
      </c>
      <c r="O16" s="2">
        <v>22.56</v>
      </c>
      <c r="P16" s="2">
        <v>23.12</v>
      </c>
      <c r="Q16" s="2" t="str">
        <f t="shared" si="2"/>
        <v>Berhasil</v>
      </c>
      <c r="R16" s="2">
        <v>-35.15</v>
      </c>
      <c r="S16" s="2">
        <v>112.88</v>
      </c>
      <c r="T16" s="2">
        <v>87.46</v>
      </c>
      <c r="U16" s="2">
        <v>64.569999999999993</v>
      </c>
      <c r="V16" s="2">
        <v>8.1</v>
      </c>
      <c r="W16" s="2">
        <v>-5.7</v>
      </c>
      <c r="X16" s="2">
        <v>21</v>
      </c>
    </row>
    <row r="17" spans="1:24" x14ac:dyDescent="0.25">
      <c r="A17" s="2">
        <f t="shared" si="3"/>
        <v>14</v>
      </c>
      <c r="B17" s="2">
        <f t="shared" si="1"/>
        <v>-0.93000000000000682</v>
      </c>
      <c r="C17" s="2">
        <f t="shared" si="0"/>
        <v>3.6599999999999966</v>
      </c>
      <c r="D17" s="2">
        <f t="shared" si="0"/>
        <v>5.5</v>
      </c>
      <c r="E17" s="2">
        <f t="shared" si="0"/>
        <v>1.8400000000000034</v>
      </c>
      <c r="F17" s="2">
        <f t="shared" si="0"/>
        <v>-0.20999999999999996</v>
      </c>
      <c r="G17" s="2">
        <f t="shared" si="0"/>
        <v>3.0000000000000249E-2</v>
      </c>
      <c r="H17" s="2">
        <f t="shared" si="0"/>
        <v>1.3500000000000014</v>
      </c>
      <c r="I17" s="2">
        <v>219.56</v>
      </c>
      <c r="J17" s="2">
        <v>106.58</v>
      </c>
      <c r="K17" s="2">
        <v>78.78</v>
      </c>
      <c r="L17" s="2">
        <v>62.2</v>
      </c>
      <c r="M17" s="2">
        <v>-7.71</v>
      </c>
      <c r="N17" s="2">
        <v>-6.37</v>
      </c>
      <c r="O17" s="2">
        <v>18.850000000000001</v>
      </c>
      <c r="P17" s="2">
        <v>20.95</v>
      </c>
      <c r="Q17" s="2" t="str">
        <f t="shared" si="2"/>
        <v>Berhasil</v>
      </c>
      <c r="R17" s="2">
        <v>220.49</v>
      </c>
      <c r="S17" s="2">
        <v>102.92</v>
      </c>
      <c r="T17" s="2">
        <v>73.28</v>
      </c>
      <c r="U17" s="2">
        <v>60.36</v>
      </c>
      <c r="V17" s="2">
        <v>-7.5</v>
      </c>
      <c r="W17" s="2">
        <v>-6.4</v>
      </c>
      <c r="X17" s="2">
        <v>17.5</v>
      </c>
    </row>
    <row r="18" spans="1:24" x14ac:dyDescent="0.25">
      <c r="A18" s="2">
        <f t="shared" si="3"/>
        <v>15</v>
      </c>
      <c r="B18" s="2">
        <f t="shared" si="1"/>
        <v>-3.2299999999999969</v>
      </c>
      <c r="C18" s="2">
        <f t="shared" si="0"/>
        <v>5.210000000000008</v>
      </c>
      <c r="D18" s="2">
        <f t="shared" si="0"/>
        <v>6.4699999999999989</v>
      </c>
      <c r="E18" s="2">
        <f t="shared" si="0"/>
        <v>1.259999999999998</v>
      </c>
      <c r="F18" s="2">
        <f t="shared" si="0"/>
        <v>-0.40000000000000036</v>
      </c>
      <c r="G18" s="2">
        <f t="shared" si="0"/>
        <v>-0.40000000000000036</v>
      </c>
      <c r="H18" s="2">
        <f t="shared" si="0"/>
        <v>1.7899999999999991</v>
      </c>
      <c r="I18" s="2">
        <v>-53.15</v>
      </c>
      <c r="J18" s="2">
        <v>100.62</v>
      </c>
      <c r="K18" s="2">
        <v>70.959999999999994</v>
      </c>
      <c r="L18" s="2">
        <v>60.33</v>
      </c>
      <c r="M18" s="2">
        <v>6</v>
      </c>
      <c r="N18" s="2">
        <v>-8</v>
      </c>
      <c r="O18" s="2">
        <v>16.79</v>
      </c>
      <c r="P18" s="2">
        <v>24.44</v>
      </c>
      <c r="Q18" s="2" t="str">
        <f t="shared" si="2"/>
        <v>Berhasil</v>
      </c>
      <c r="R18" s="2">
        <v>-49.92</v>
      </c>
      <c r="S18" s="2">
        <v>95.41</v>
      </c>
      <c r="T18" s="2">
        <v>64.489999999999995</v>
      </c>
      <c r="U18" s="2">
        <v>59.07</v>
      </c>
      <c r="V18" s="2">
        <v>6.4</v>
      </c>
      <c r="W18" s="2">
        <v>-7.6</v>
      </c>
      <c r="X18" s="2">
        <v>15</v>
      </c>
    </row>
    <row r="19" spans="1:24" x14ac:dyDescent="0.25">
      <c r="A19" s="2">
        <f t="shared" si="3"/>
        <v>16</v>
      </c>
      <c r="B19" s="2">
        <f t="shared" si="1"/>
        <v>0.91000000000000014</v>
      </c>
      <c r="C19" s="2">
        <f t="shared" si="0"/>
        <v>2.1799999999999926</v>
      </c>
      <c r="D19" s="2">
        <f t="shared" si="0"/>
        <v>2.75</v>
      </c>
      <c r="E19" s="2">
        <f t="shared" si="0"/>
        <v>0.57999999999999829</v>
      </c>
      <c r="F19" s="2">
        <f t="shared" si="0"/>
        <v>-5.0000000000000711E-2</v>
      </c>
      <c r="G19" s="2">
        <f t="shared" si="0"/>
        <v>0.14999999999999991</v>
      </c>
      <c r="H19" s="2">
        <f t="shared" si="0"/>
        <v>0.75</v>
      </c>
      <c r="I19" s="2">
        <v>20.8</v>
      </c>
      <c r="J19" s="2">
        <v>101.96</v>
      </c>
      <c r="K19" s="2">
        <v>72.650000000000006</v>
      </c>
      <c r="L19" s="2">
        <v>60.69</v>
      </c>
      <c r="M19" s="2">
        <v>9.35</v>
      </c>
      <c r="N19" s="2">
        <v>3.55</v>
      </c>
      <c r="O19" s="2">
        <v>17.25</v>
      </c>
      <c r="P19" s="2">
        <v>21.06</v>
      </c>
      <c r="Q19" s="2" t="str">
        <f t="shared" si="2"/>
        <v>Berhasil</v>
      </c>
      <c r="R19" s="2">
        <v>19.89</v>
      </c>
      <c r="S19" s="2">
        <v>99.78</v>
      </c>
      <c r="T19" s="2">
        <v>69.900000000000006</v>
      </c>
      <c r="U19" s="2">
        <v>60.11</v>
      </c>
      <c r="V19" s="2">
        <v>9.4</v>
      </c>
      <c r="W19" s="2">
        <v>3.4</v>
      </c>
      <c r="X19" s="2">
        <v>16.5</v>
      </c>
    </row>
    <row r="20" spans="1:24" x14ac:dyDescent="0.25">
      <c r="A20" s="2">
        <f t="shared" si="3"/>
        <v>17</v>
      </c>
      <c r="B20" s="2">
        <f t="shared" si="1"/>
        <v>-1.0900000000000034</v>
      </c>
      <c r="C20" s="2">
        <f t="shared" ref="C20:C23" si="4">J20-S20</f>
        <v>11.75</v>
      </c>
      <c r="D20" s="2">
        <f t="shared" ref="D20:D23" si="5">K20-T20</f>
        <v>21.929999999999993</v>
      </c>
      <c r="E20" s="2">
        <f t="shared" ref="E20:E23" si="6">L20-U20</f>
        <v>8.1899999999999977</v>
      </c>
      <c r="F20" s="2">
        <f t="shared" ref="F20:F23" si="7">M20-V20</f>
        <v>0.47000000000000064</v>
      </c>
      <c r="G20" s="2">
        <f t="shared" ref="G20:G23" si="8">N20-W20</f>
        <v>-3.0000000000001137E-2</v>
      </c>
      <c r="H20" s="2">
        <f t="shared" ref="H20:H23" si="9">O20-X20</f>
        <v>2.5599999999999987</v>
      </c>
      <c r="I20" s="2">
        <v>49.68</v>
      </c>
      <c r="J20" s="2">
        <v>125.85</v>
      </c>
      <c r="K20" s="2">
        <v>148.54</v>
      </c>
      <c r="L20" s="2">
        <v>110.69</v>
      </c>
      <c r="M20" s="2">
        <v>12.97</v>
      </c>
      <c r="N20" s="2">
        <v>15.27</v>
      </c>
      <c r="O20" s="2">
        <v>25.06</v>
      </c>
      <c r="P20" s="2">
        <v>23.81</v>
      </c>
      <c r="Q20" s="2" t="str">
        <f t="shared" si="2"/>
        <v>Berhasil</v>
      </c>
      <c r="R20" s="2">
        <v>50.77</v>
      </c>
      <c r="S20" s="2">
        <v>114.1</v>
      </c>
      <c r="T20" s="2">
        <v>126.61</v>
      </c>
      <c r="U20" s="2">
        <v>102.5</v>
      </c>
      <c r="V20" s="2">
        <v>12.5</v>
      </c>
      <c r="W20" s="2">
        <v>15.3</v>
      </c>
      <c r="X20" s="2">
        <v>22.5</v>
      </c>
    </row>
    <row r="21" spans="1:24" x14ac:dyDescent="0.25">
      <c r="A21" s="2">
        <f t="shared" si="3"/>
        <v>18</v>
      </c>
      <c r="B21" s="2">
        <f t="shared" si="1"/>
        <v>-3.4299999999999997</v>
      </c>
      <c r="C21" s="2">
        <f t="shared" si="4"/>
        <v>3.9699999999999989</v>
      </c>
      <c r="D21" s="2">
        <f t="shared" si="5"/>
        <v>11.460000000000008</v>
      </c>
      <c r="E21" s="2">
        <f t="shared" si="6"/>
        <v>7.5</v>
      </c>
      <c r="F21" s="2">
        <f t="shared" si="7"/>
        <v>-0.51999999999999957</v>
      </c>
      <c r="G21" s="2">
        <f t="shared" si="8"/>
        <v>-0.39999999999999858</v>
      </c>
      <c r="H21" s="2">
        <f t="shared" si="9"/>
        <v>0.62000000000000099</v>
      </c>
      <c r="I21" s="2">
        <v>-38.979999999999997</v>
      </c>
      <c r="J21" s="2">
        <v>101.72</v>
      </c>
      <c r="K21" s="2">
        <v>123.01</v>
      </c>
      <c r="L21" s="2">
        <v>111.3</v>
      </c>
      <c r="M21" s="2">
        <v>11.98</v>
      </c>
      <c r="N21" s="2">
        <v>-17.899999999999999</v>
      </c>
      <c r="O21" s="2">
        <v>18.12</v>
      </c>
      <c r="P21" s="2">
        <v>22.73</v>
      </c>
      <c r="Q21" s="2" t="str">
        <f t="shared" si="2"/>
        <v>Berhasil</v>
      </c>
      <c r="R21" s="2">
        <v>-35.549999999999997</v>
      </c>
      <c r="S21" s="2">
        <v>97.75</v>
      </c>
      <c r="T21" s="2">
        <v>111.55</v>
      </c>
      <c r="U21" s="2">
        <v>103.8</v>
      </c>
      <c r="V21" s="2">
        <v>12.5</v>
      </c>
      <c r="W21" s="2">
        <v>-17.5</v>
      </c>
      <c r="X21" s="2">
        <v>17.5</v>
      </c>
    </row>
    <row r="22" spans="1:24" x14ac:dyDescent="0.25">
      <c r="A22" s="2">
        <f t="shared" si="3"/>
        <v>19</v>
      </c>
      <c r="B22" s="2">
        <f t="shared" si="1"/>
        <v>2.240000000000002</v>
      </c>
      <c r="C22" s="2">
        <f t="shared" si="4"/>
        <v>6.9300000000000068</v>
      </c>
      <c r="D22" s="2">
        <f t="shared" si="5"/>
        <v>10.689999999999998</v>
      </c>
      <c r="E22" s="2">
        <f t="shared" si="6"/>
        <v>5.7599999999999909</v>
      </c>
      <c r="F22" s="2">
        <f t="shared" si="7"/>
        <v>0.60999999999999943</v>
      </c>
      <c r="G22" s="2">
        <f t="shared" si="8"/>
        <v>0.53999999999999915</v>
      </c>
      <c r="H22" s="2">
        <f t="shared" si="9"/>
        <v>2.34</v>
      </c>
      <c r="I22" s="2">
        <v>-28.24</v>
      </c>
      <c r="J22" s="2">
        <v>103.62</v>
      </c>
      <c r="K22" s="2">
        <v>114.32</v>
      </c>
      <c r="L22" s="2">
        <v>99.69</v>
      </c>
      <c r="M22" s="2">
        <v>17.61</v>
      </c>
      <c r="N22" s="2">
        <v>-9.4600000000000009</v>
      </c>
      <c r="O22" s="2">
        <v>19.84</v>
      </c>
      <c r="P22" s="2">
        <v>20.54</v>
      </c>
      <c r="Q22" s="2" t="str">
        <f t="shared" si="2"/>
        <v>Berhasil</v>
      </c>
      <c r="R22" s="2">
        <v>-30.48</v>
      </c>
      <c r="S22" s="2">
        <v>96.69</v>
      </c>
      <c r="T22" s="2">
        <v>103.63</v>
      </c>
      <c r="U22" s="2">
        <v>93.93</v>
      </c>
      <c r="V22" s="2">
        <v>17</v>
      </c>
      <c r="W22" s="2">
        <v>-10</v>
      </c>
      <c r="X22" s="2">
        <v>17.5</v>
      </c>
    </row>
    <row r="23" spans="1:24" x14ac:dyDescent="0.25">
      <c r="A23" s="2">
        <f t="shared" si="3"/>
        <v>20</v>
      </c>
      <c r="B23" s="2">
        <f>I23-R23</f>
        <v>1.7800000000000011</v>
      </c>
      <c r="C23" s="2">
        <f t="shared" si="4"/>
        <v>8.5999999999999943</v>
      </c>
      <c r="D23" s="2">
        <f t="shared" si="5"/>
        <v>10.530000000000001</v>
      </c>
      <c r="E23" s="2">
        <f t="shared" si="6"/>
        <v>7.93</v>
      </c>
      <c r="F23" s="2">
        <f t="shared" si="7"/>
        <v>-0.11000000000000121</v>
      </c>
      <c r="G23" s="2">
        <f t="shared" si="8"/>
        <v>0.29000000000000004</v>
      </c>
      <c r="H23" s="2">
        <f t="shared" si="9"/>
        <v>2.9200000000000017</v>
      </c>
      <c r="I23" s="2">
        <v>21.67</v>
      </c>
      <c r="J23" s="2">
        <v>103.91</v>
      </c>
      <c r="K23" s="2">
        <v>75.16</v>
      </c>
      <c r="L23" s="2">
        <v>67.25</v>
      </c>
      <c r="M23" s="2">
        <v>9.2899999999999991</v>
      </c>
      <c r="N23" s="2">
        <v>3.69</v>
      </c>
      <c r="O23" s="2">
        <v>17.920000000000002</v>
      </c>
      <c r="P23" s="2">
        <v>24.21</v>
      </c>
      <c r="Q23" s="2" t="str">
        <f t="shared" si="2"/>
        <v>Berhasil</v>
      </c>
      <c r="R23" s="2">
        <v>19.89</v>
      </c>
      <c r="S23" s="2">
        <v>95.31</v>
      </c>
      <c r="T23" s="2">
        <v>64.63</v>
      </c>
      <c r="U23" s="2">
        <v>59.32</v>
      </c>
      <c r="V23" s="2">
        <v>9.4</v>
      </c>
      <c r="W23" s="2">
        <v>3.4</v>
      </c>
      <c r="X23" s="2">
        <v>15</v>
      </c>
    </row>
    <row r="24" spans="1:24" x14ac:dyDescent="0.25">
      <c r="A24" t="s">
        <v>32</v>
      </c>
      <c r="B24" s="4">
        <f>MIN(B4:B23)</f>
        <v>-4.1700000000000017</v>
      </c>
      <c r="C24" s="4">
        <f t="shared" ref="C24:H24" si="10">MIN(C4:C23)</f>
        <v>-0.56999999999999318</v>
      </c>
      <c r="D24" s="4">
        <f t="shared" si="10"/>
        <v>-6.7399999999999949</v>
      </c>
      <c r="E24" s="4">
        <f t="shared" si="10"/>
        <v>-9.0900000000000034</v>
      </c>
      <c r="F24" s="4">
        <f t="shared" si="10"/>
        <v>-1.0799999999999983</v>
      </c>
      <c r="G24" s="4">
        <f t="shared" si="10"/>
        <v>-1.2700000000000031</v>
      </c>
      <c r="H24" s="4">
        <f t="shared" si="10"/>
        <v>0</v>
      </c>
    </row>
    <row r="25" spans="1:24" x14ac:dyDescent="0.25">
      <c r="A25" t="s">
        <v>33</v>
      </c>
      <c r="B25" s="4">
        <f>MAX(B4:B23)</f>
        <v>6.6199999999999761</v>
      </c>
      <c r="C25" s="4">
        <f t="shared" ref="C25:H25" si="11">MAX(C4:C23)</f>
        <v>13.36</v>
      </c>
      <c r="D25" s="4">
        <f t="shared" si="11"/>
        <v>21.929999999999993</v>
      </c>
      <c r="E25" s="4">
        <f t="shared" si="11"/>
        <v>14.11999999999999</v>
      </c>
      <c r="F25" s="4">
        <f t="shared" si="11"/>
        <v>0.92000000000000171</v>
      </c>
      <c r="G25" s="4">
        <f t="shared" si="11"/>
        <v>1.120000000000001</v>
      </c>
      <c r="H25" s="4">
        <f t="shared" si="11"/>
        <v>2.9200000000000017</v>
      </c>
    </row>
  </sheetData>
  <mergeCells count="12">
    <mergeCell ref="R1:X1"/>
    <mergeCell ref="R2:U2"/>
    <mergeCell ref="V2:X2"/>
    <mergeCell ref="A2:A3"/>
    <mergeCell ref="F2:H2"/>
    <mergeCell ref="B2:E2"/>
    <mergeCell ref="A1:H1"/>
    <mergeCell ref="I2:L2"/>
    <mergeCell ref="M2:O2"/>
    <mergeCell ref="I1:Q1"/>
    <mergeCell ref="P2:P3"/>
    <mergeCell ref="Q2:Q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opLeftCell="C1" zoomScale="90" zoomScaleNormal="90" workbookViewId="0">
      <selection activeCell="G13" sqref="G13"/>
    </sheetView>
  </sheetViews>
  <sheetFormatPr defaultRowHeight="15" x14ac:dyDescent="0.25"/>
  <cols>
    <col min="6" max="14" width="7.7109375" customWidth="1"/>
  </cols>
  <sheetData>
    <row r="1" spans="1:14" x14ac:dyDescent="0.25">
      <c r="F1" s="22" t="s">
        <v>16</v>
      </c>
      <c r="G1" s="22"/>
      <c r="H1" s="22"/>
      <c r="I1" s="22" t="s">
        <v>17</v>
      </c>
      <c r="J1" s="22"/>
      <c r="K1" s="22"/>
      <c r="L1" s="22" t="s">
        <v>18</v>
      </c>
      <c r="M1" s="22"/>
      <c r="N1" s="22"/>
    </row>
    <row r="2" spans="1:14" x14ac:dyDescent="0.25">
      <c r="B2" t="s">
        <v>21</v>
      </c>
      <c r="C2" t="s">
        <v>22</v>
      </c>
      <c r="D2" t="s">
        <v>23</v>
      </c>
      <c r="F2" s="9" t="s">
        <v>26</v>
      </c>
      <c r="G2" s="9" t="s">
        <v>27</v>
      </c>
      <c r="H2" s="9" t="s">
        <v>25</v>
      </c>
      <c r="I2" s="9" t="s">
        <v>26</v>
      </c>
      <c r="J2" s="9" t="s">
        <v>27</v>
      </c>
      <c r="K2" s="9" t="s">
        <v>25</v>
      </c>
      <c r="L2" s="9" t="s">
        <v>26</v>
      </c>
      <c r="M2" s="9" t="s">
        <v>27</v>
      </c>
      <c r="N2" s="9" t="s">
        <v>25</v>
      </c>
    </row>
    <row r="3" spans="1:14" x14ac:dyDescent="0.25">
      <c r="A3">
        <f>A2+1</f>
        <v>1</v>
      </c>
      <c r="B3">
        <f>Sheet1!F4</f>
        <v>0.29000000000000092</v>
      </c>
      <c r="C3">
        <f>Sheet1!G4</f>
        <v>0.21000000000000002</v>
      </c>
      <c r="D3">
        <f>Sheet1!H4</f>
        <v>0</v>
      </c>
      <c r="F3" s="10">
        <f>ABS(B3)</f>
        <v>0.29000000000000092</v>
      </c>
      <c r="G3" s="10">
        <f>F3^2</f>
        <v>8.4100000000000535E-2</v>
      </c>
      <c r="H3" s="10">
        <f>G3</f>
        <v>8.4100000000000535E-2</v>
      </c>
      <c r="I3" s="10">
        <f t="shared" ref="I3:I22" si="0">ABS(C3)</f>
        <v>0.21000000000000002</v>
      </c>
      <c r="J3" s="10">
        <f>I3^2</f>
        <v>4.4100000000000007E-2</v>
      </c>
      <c r="K3" s="10">
        <f>J3</f>
        <v>4.4100000000000007E-2</v>
      </c>
      <c r="L3" s="10">
        <f t="shared" ref="L3:L22" si="1">ABS(D3)</f>
        <v>0</v>
      </c>
      <c r="M3" s="10">
        <f>L3^2</f>
        <v>0</v>
      </c>
      <c r="N3" s="10">
        <f>M3</f>
        <v>0</v>
      </c>
    </row>
    <row r="4" spans="1:14" x14ac:dyDescent="0.25">
      <c r="A4">
        <f t="shared" ref="A4:A22" si="2">A3+1</f>
        <v>2</v>
      </c>
      <c r="B4">
        <f>Sheet1!F5</f>
        <v>-0.51000000000000156</v>
      </c>
      <c r="C4">
        <f>Sheet1!G5</f>
        <v>0.32000000000000028</v>
      </c>
      <c r="D4">
        <f>Sheet1!H5</f>
        <v>0.8100000000000005</v>
      </c>
      <c r="F4" s="10">
        <f t="shared" ref="F4:F22" si="3">ABS(B4)</f>
        <v>0.51000000000000156</v>
      </c>
      <c r="G4" s="10">
        <f t="shared" ref="G4:G22" si="4">F4^2</f>
        <v>0.26010000000000161</v>
      </c>
      <c r="H4" s="10">
        <f t="shared" ref="H4:H22" si="5">G4</f>
        <v>0.26010000000000161</v>
      </c>
      <c r="I4" s="10">
        <f t="shared" si="0"/>
        <v>0.32000000000000028</v>
      </c>
      <c r="J4" s="10">
        <f t="shared" ref="J4:J22" si="6">I4^2</f>
        <v>0.10240000000000019</v>
      </c>
      <c r="K4" s="10">
        <f t="shared" ref="K4:K22" si="7">J4</f>
        <v>0.10240000000000019</v>
      </c>
      <c r="L4" s="10">
        <f t="shared" si="1"/>
        <v>0.8100000000000005</v>
      </c>
      <c r="M4" s="10">
        <f t="shared" ref="M4:M22" si="8">L4^2</f>
        <v>0.65610000000000079</v>
      </c>
      <c r="N4" s="10">
        <f t="shared" ref="N4:N22" si="9">M4</f>
        <v>0.65610000000000079</v>
      </c>
    </row>
    <row r="5" spans="1:14" x14ac:dyDescent="0.25">
      <c r="A5">
        <f t="shared" si="2"/>
        <v>3</v>
      </c>
      <c r="B5">
        <f>Sheet1!F6</f>
        <v>-0.23000000000000043</v>
      </c>
      <c r="C5">
        <f>Sheet1!G6</f>
        <v>0.62999999999999989</v>
      </c>
      <c r="D5">
        <f>Sheet1!H6</f>
        <v>0.53999999999999915</v>
      </c>
      <c r="F5" s="10">
        <f t="shared" si="3"/>
        <v>0.23000000000000043</v>
      </c>
      <c r="G5" s="10">
        <f t="shared" si="4"/>
        <v>5.2900000000000197E-2</v>
      </c>
      <c r="H5" s="10">
        <f t="shared" si="5"/>
        <v>5.2900000000000197E-2</v>
      </c>
      <c r="I5" s="10">
        <f t="shared" si="0"/>
        <v>0.62999999999999989</v>
      </c>
      <c r="J5" s="10">
        <f t="shared" si="6"/>
        <v>0.39689999999999986</v>
      </c>
      <c r="K5" s="10">
        <f t="shared" si="7"/>
        <v>0.39689999999999986</v>
      </c>
      <c r="L5" s="10">
        <f t="shared" si="1"/>
        <v>0.53999999999999915</v>
      </c>
      <c r="M5" s="10">
        <f t="shared" si="8"/>
        <v>0.29159999999999908</v>
      </c>
      <c r="N5" s="10">
        <f t="shared" si="9"/>
        <v>0.29159999999999908</v>
      </c>
    </row>
    <row r="6" spans="1:14" x14ac:dyDescent="0.25">
      <c r="A6">
        <f t="shared" si="2"/>
        <v>4</v>
      </c>
      <c r="B6">
        <f>Sheet1!F7</f>
        <v>-0.24000000000000021</v>
      </c>
      <c r="C6">
        <f>Sheet1!G7</f>
        <v>1.120000000000001</v>
      </c>
      <c r="D6">
        <f>Sheet1!H7</f>
        <v>1.3900000000000006</v>
      </c>
      <c r="F6" s="10">
        <f t="shared" si="3"/>
        <v>0.24000000000000021</v>
      </c>
      <c r="G6" s="10">
        <f t="shared" si="4"/>
        <v>5.7600000000000103E-2</v>
      </c>
      <c r="H6" s="10">
        <f t="shared" si="5"/>
        <v>5.7600000000000103E-2</v>
      </c>
      <c r="I6" s="10">
        <f t="shared" si="0"/>
        <v>1.120000000000001</v>
      </c>
      <c r="J6" s="10">
        <f t="shared" si="6"/>
        <v>1.2544000000000022</v>
      </c>
      <c r="K6" s="10">
        <f t="shared" si="7"/>
        <v>1.2544000000000022</v>
      </c>
      <c r="L6" s="10">
        <f t="shared" si="1"/>
        <v>1.3900000000000006</v>
      </c>
      <c r="M6" s="10">
        <f t="shared" si="8"/>
        <v>1.9321000000000015</v>
      </c>
      <c r="N6" s="10">
        <f t="shared" si="9"/>
        <v>1.9321000000000015</v>
      </c>
    </row>
    <row r="7" spans="1:14" x14ac:dyDescent="0.25">
      <c r="A7">
        <f t="shared" si="2"/>
        <v>5</v>
      </c>
      <c r="B7">
        <f>Sheet1!F8</f>
        <v>-1.0500000000000007</v>
      </c>
      <c r="C7">
        <f>Sheet1!G8</f>
        <v>-0.47999999999999954</v>
      </c>
      <c r="D7">
        <f>Sheet1!H8</f>
        <v>0.99000000000000021</v>
      </c>
      <c r="F7" s="10">
        <f t="shared" si="3"/>
        <v>1.0500000000000007</v>
      </c>
      <c r="G7" s="10">
        <f t="shared" si="4"/>
        <v>1.1025000000000016</v>
      </c>
      <c r="H7" s="10">
        <f t="shared" si="5"/>
        <v>1.1025000000000016</v>
      </c>
      <c r="I7" s="10">
        <f t="shared" si="0"/>
        <v>0.47999999999999954</v>
      </c>
      <c r="J7" s="10">
        <f t="shared" si="6"/>
        <v>0.23039999999999955</v>
      </c>
      <c r="K7" s="10">
        <f t="shared" si="7"/>
        <v>0.23039999999999955</v>
      </c>
      <c r="L7" s="10">
        <f t="shared" si="1"/>
        <v>0.99000000000000021</v>
      </c>
      <c r="M7" s="10">
        <f t="shared" si="8"/>
        <v>0.98010000000000042</v>
      </c>
      <c r="N7" s="10">
        <f t="shared" si="9"/>
        <v>0.98010000000000042</v>
      </c>
    </row>
    <row r="8" spans="1:14" x14ac:dyDescent="0.25">
      <c r="A8">
        <f t="shared" si="2"/>
        <v>6</v>
      </c>
      <c r="B8">
        <f>Sheet1!F9</f>
        <v>-0.25</v>
      </c>
      <c r="C8">
        <f>Sheet1!G9</f>
        <v>0.41999999999999993</v>
      </c>
      <c r="D8">
        <f>Sheet1!H9</f>
        <v>0.35000000000000142</v>
      </c>
      <c r="F8" s="10">
        <f t="shared" si="3"/>
        <v>0.25</v>
      </c>
      <c r="G8" s="10">
        <f t="shared" si="4"/>
        <v>6.25E-2</v>
      </c>
      <c r="H8" s="10">
        <f t="shared" si="5"/>
        <v>6.25E-2</v>
      </c>
      <c r="I8" s="10">
        <f t="shared" si="0"/>
        <v>0.41999999999999993</v>
      </c>
      <c r="J8" s="10">
        <f t="shared" si="6"/>
        <v>0.17639999999999995</v>
      </c>
      <c r="K8" s="10">
        <f t="shared" si="7"/>
        <v>0.17639999999999995</v>
      </c>
      <c r="L8" s="10">
        <f t="shared" si="1"/>
        <v>0.35000000000000142</v>
      </c>
      <c r="M8" s="10">
        <f t="shared" si="8"/>
        <v>0.122500000000001</v>
      </c>
      <c r="N8" s="10">
        <f t="shared" si="9"/>
        <v>0.122500000000001</v>
      </c>
    </row>
    <row r="9" spans="1:14" x14ac:dyDescent="0.25">
      <c r="A9">
        <f t="shared" si="2"/>
        <v>7</v>
      </c>
      <c r="B9">
        <f>Sheet1!F10</f>
        <v>0.90000000000000036</v>
      </c>
      <c r="C9">
        <f>Sheet1!G10</f>
        <v>-1.1999999999999993</v>
      </c>
      <c r="D9">
        <f>Sheet1!H10</f>
        <v>0.96000000000000085</v>
      </c>
      <c r="F9" s="10">
        <f t="shared" si="3"/>
        <v>0.90000000000000036</v>
      </c>
      <c r="G9" s="10">
        <f t="shared" si="4"/>
        <v>0.81000000000000061</v>
      </c>
      <c r="H9" s="10">
        <f t="shared" si="5"/>
        <v>0.81000000000000061</v>
      </c>
      <c r="I9" s="10">
        <f t="shared" si="0"/>
        <v>1.1999999999999993</v>
      </c>
      <c r="J9" s="10">
        <f t="shared" si="6"/>
        <v>1.4399999999999984</v>
      </c>
      <c r="K9" s="10">
        <f t="shared" si="7"/>
        <v>1.4399999999999984</v>
      </c>
      <c r="L9" s="10">
        <f t="shared" si="1"/>
        <v>0.96000000000000085</v>
      </c>
      <c r="M9" s="10">
        <f t="shared" si="8"/>
        <v>0.92160000000000164</v>
      </c>
      <c r="N9" s="10">
        <f t="shared" si="9"/>
        <v>0.92160000000000164</v>
      </c>
    </row>
    <row r="10" spans="1:14" x14ac:dyDescent="0.25">
      <c r="A10">
        <f t="shared" si="2"/>
        <v>8</v>
      </c>
      <c r="B10">
        <f>Sheet1!F11</f>
        <v>-0.44000000000000128</v>
      </c>
      <c r="C10">
        <f>Sheet1!G11</f>
        <v>0.57000000000000028</v>
      </c>
      <c r="D10">
        <f>Sheet1!H11</f>
        <v>0.87000000000000099</v>
      </c>
      <c r="F10" s="10">
        <f t="shared" si="3"/>
        <v>0.44000000000000128</v>
      </c>
      <c r="G10" s="10">
        <f t="shared" si="4"/>
        <v>0.19360000000000113</v>
      </c>
      <c r="H10" s="10">
        <f t="shared" si="5"/>
        <v>0.19360000000000113</v>
      </c>
      <c r="I10" s="10">
        <f t="shared" si="0"/>
        <v>0.57000000000000028</v>
      </c>
      <c r="J10" s="10">
        <f t="shared" si="6"/>
        <v>0.3249000000000003</v>
      </c>
      <c r="K10" s="10">
        <f t="shared" si="7"/>
        <v>0.3249000000000003</v>
      </c>
      <c r="L10" s="10">
        <f t="shared" si="1"/>
        <v>0.87000000000000099</v>
      </c>
      <c r="M10" s="10">
        <f t="shared" si="8"/>
        <v>0.75690000000000168</v>
      </c>
      <c r="N10" s="10">
        <f t="shared" si="9"/>
        <v>0.75690000000000168</v>
      </c>
    </row>
    <row r="11" spans="1:14" x14ac:dyDescent="0.25">
      <c r="A11">
        <f t="shared" si="2"/>
        <v>9</v>
      </c>
      <c r="B11">
        <f>Sheet1!F12</f>
        <v>-4.9999999999999989E-2</v>
      </c>
      <c r="C11">
        <f>Sheet1!G12</f>
        <v>0</v>
      </c>
      <c r="D11">
        <f>Sheet1!H12</f>
        <v>1.4100000000000001</v>
      </c>
      <c r="F11" s="10">
        <f t="shared" si="3"/>
        <v>4.9999999999999989E-2</v>
      </c>
      <c r="G11" s="10">
        <f t="shared" si="4"/>
        <v>2.4999999999999988E-3</v>
      </c>
      <c r="H11" s="10">
        <f t="shared" si="5"/>
        <v>2.4999999999999988E-3</v>
      </c>
      <c r="I11" s="10">
        <f t="shared" si="0"/>
        <v>0</v>
      </c>
      <c r="J11" s="10">
        <f t="shared" si="6"/>
        <v>0</v>
      </c>
      <c r="K11" s="10">
        <f t="shared" si="7"/>
        <v>0</v>
      </c>
      <c r="L11" s="10">
        <f t="shared" si="1"/>
        <v>1.4100000000000001</v>
      </c>
      <c r="M11" s="10">
        <f t="shared" si="8"/>
        <v>1.9881000000000004</v>
      </c>
      <c r="N11" s="10">
        <f t="shared" si="9"/>
        <v>1.9881000000000004</v>
      </c>
    </row>
    <row r="12" spans="1:14" x14ac:dyDescent="0.25">
      <c r="A12">
        <f t="shared" si="2"/>
        <v>10</v>
      </c>
      <c r="B12">
        <f>Sheet1!F13</f>
        <v>0.92000000000000171</v>
      </c>
      <c r="C12">
        <f>Sheet1!G13</f>
        <v>0.33999999999999986</v>
      </c>
      <c r="D12">
        <f>Sheet1!H13</f>
        <v>2.7600000000000016</v>
      </c>
      <c r="F12" s="10">
        <f t="shared" si="3"/>
        <v>0.92000000000000171</v>
      </c>
      <c r="G12" s="10">
        <f t="shared" si="4"/>
        <v>0.84640000000000315</v>
      </c>
      <c r="H12" s="10">
        <f t="shared" si="5"/>
        <v>0.84640000000000315</v>
      </c>
      <c r="I12" s="10">
        <f t="shared" si="0"/>
        <v>0.33999999999999986</v>
      </c>
      <c r="J12" s="10">
        <f t="shared" si="6"/>
        <v>0.1155999999999999</v>
      </c>
      <c r="K12" s="10">
        <f t="shared" si="7"/>
        <v>0.1155999999999999</v>
      </c>
      <c r="L12" s="10">
        <f t="shared" si="1"/>
        <v>2.7600000000000016</v>
      </c>
      <c r="M12" s="10">
        <f t="shared" si="8"/>
        <v>7.6176000000000084</v>
      </c>
      <c r="N12" s="10">
        <f t="shared" si="9"/>
        <v>7.6176000000000084</v>
      </c>
    </row>
    <row r="13" spans="1:14" x14ac:dyDescent="0.25">
      <c r="A13">
        <f t="shared" si="2"/>
        <v>11</v>
      </c>
      <c r="B13">
        <f>Sheet1!F14</f>
        <v>-1.0799999999999983</v>
      </c>
      <c r="C13">
        <f>Sheet1!G14</f>
        <v>0.40000000000000036</v>
      </c>
      <c r="D13">
        <f>Sheet1!H14</f>
        <v>0.82999999999999829</v>
      </c>
      <c r="F13" s="10">
        <f t="shared" si="3"/>
        <v>1.0799999999999983</v>
      </c>
      <c r="G13" s="10">
        <f t="shared" si="4"/>
        <v>1.1663999999999963</v>
      </c>
      <c r="H13" s="10">
        <f t="shared" si="5"/>
        <v>1.1663999999999963</v>
      </c>
      <c r="I13" s="10">
        <f t="shared" si="0"/>
        <v>0.40000000000000036</v>
      </c>
      <c r="J13" s="10">
        <f t="shared" si="6"/>
        <v>0.16000000000000028</v>
      </c>
      <c r="K13" s="10">
        <f t="shared" si="7"/>
        <v>0.16000000000000028</v>
      </c>
      <c r="L13" s="10">
        <f t="shared" si="1"/>
        <v>0.82999999999999829</v>
      </c>
      <c r="M13" s="10">
        <f t="shared" si="8"/>
        <v>0.68889999999999718</v>
      </c>
      <c r="N13" s="10">
        <f t="shared" si="9"/>
        <v>0.68889999999999718</v>
      </c>
    </row>
    <row r="14" spans="1:14" x14ac:dyDescent="0.25">
      <c r="A14">
        <f t="shared" si="2"/>
        <v>12</v>
      </c>
      <c r="B14">
        <f>Sheet1!F15</f>
        <v>-0.33999999999999986</v>
      </c>
      <c r="C14">
        <f>Sheet1!G15</f>
        <v>-1.2700000000000031</v>
      </c>
      <c r="D14">
        <f>Sheet1!H15</f>
        <v>1.9200000000000017</v>
      </c>
      <c r="F14" s="10">
        <f t="shared" si="3"/>
        <v>0.33999999999999986</v>
      </c>
      <c r="G14" s="10">
        <f t="shared" si="4"/>
        <v>0.1155999999999999</v>
      </c>
      <c r="H14" s="10">
        <f t="shared" si="5"/>
        <v>0.1155999999999999</v>
      </c>
      <c r="I14" s="10">
        <f t="shared" si="0"/>
        <v>1.2700000000000031</v>
      </c>
      <c r="J14" s="10">
        <f t="shared" si="6"/>
        <v>1.612900000000008</v>
      </c>
      <c r="K14" s="10">
        <f t="shared" si="7"/>
        <v>1.612900000000008</v>
      </c>
      <c r="L14" s="10">
        <f t="shared" si="1"/>
        <v>1.9200000000000017</v>
      </c>
      <c r="M14" s="10">
        <f t="shared" si="8"/>
        <v>3.6864000000000066</v>
      </c>
      <c r="N14" s="10">
        <f t="shared" si="9"/>
        <v>3.6864000000000066</v>
      </c>
    </row>
    <row r="15" spans="1:14" x14ac:dyDescent="0.25">
      <c r="A15">
        <f t="shared" si="2"/>
        <v>13</v>
      </c>
      <c r="B15">
        <f>Sheet1!F16</f>
        <v>-0.3199999999999994</v>
      </c>
      <c r="C15">
        <f>Sheet1!G16</f>
        <v>-0.58000000000000007</v>
      </c>
      <c r="D15">
        <f>Sheet1!H16</f>
        <v>1.5599999999999987</v>
      </c>
      <c r="F15" s="10">
        <f t="shared" si="3"/>
        <v>0.3199999999999994</v>
      </c>
      <c r="G15" s="10">
        <f t="shared" si="4"/>
        <v>0.10239999999999962</v>
      </c>
      <c r="H15" s="10">
        <f t="shared" si="5"/>
        <v>0.10239999999999962</v>
      </c>
      <c r="I15" s="10">
        <f t="shared" si="0"/>
        <v>0.58000000000000007</v>
      </c>
      <c r="J15" s="10">
        <f t="shared" si="6"/>
        <v>0.33640000000000009</v>
      </c>
      <c r="K15" s="10">
        <f t="shared" si="7"/>
        <v>0.33640000000000009</v>
      </c>
      <c r="L15" s="10">
        <f t="shared" si="1"/>
        <v>1.5599999999999987</v>
      </c>
      <c r="M15" s="10">
        <f t="shared" si="8"/>
        <v>2.4335999999999962</v>
      </c>
      <c r="N15" s="10">
        <f t="shared" si="9"/>
        <v>2.4335999999999962</v>
      </c>
    </row>
    <row r="16" spans="1:14" x14ac:dyDescent="0.25">
      <c r="A16">
        <f t="shared" si="2"/>
        <v>14</v>
      </c>
      <c r="B16">
        <f>Sheet1!F17</f>
        <v>-0.20999999999999996</v>
      </c>
      <c r="C16">
        <f>Sheet1!G17</f>
        <v>3.0000000000000249E-2</v>
      </c>
      <c r="D16">
        <f>Sheet1!H17</f>
        <v>1.3500000000000014</v>
      </c>
      <c r="F16" s="10">
        <f t="shared" si="3"/>
        <v>0.20999999999999996</v>
      </c>
      <c r="G16" s="10">
        <f t="shared" si="4"/>
        <v>4.4099999999999986E-2</v>
      </c>
      <c r="H16" s="10">
        <f t="shared" si="5"/>
        <v>4.4099999999999986E-2</v>
      </c>
      <c r="I16" s="10">
        <f t="shared" si="0"/>
        <v>3.0000000000000249E-2</v>
      </c>
      <c r="J16" s="10">
        <f t="shared" si="6"/>
        <v>9.0000000000001494E-4</v>
      </c>
      <c r="K16" s="10">
        <f t="shared" si="7"/>
        <v>9.0000000000001494E-4</v>
      </c>
      <c r="L16" s="10">
        <f t="shared" si="1"/>
        <v>1.3500000000000014</v>
      </c>
      <c r="M16" s="10">
        <f t="shared" si="8"/>
        <v>1.8225000000000038</v>
      </c>
      <c r="N16" s="10">
        <f t="shared" si="9"/>
        <v>1.8225000000000038</v>
      </c>
    </row>
    <row r="17" spans="1:14" x14ac:dyDescent="0.25">
      <c r="A17">
        <f t="shared" si="2"/>
        <v>15</v>
      </c>
      <c r="B17">
        <f>Sheet1!F18</f>
        <v>-0.40000000000000036</v>
      </c>
      <c r="C17">
        <f>Sheet1!G18</f>
        <v>-0.40000000000000036</v>
      </c>
      <c r="D17">
        <f>Sheet1!H18</f>
        <v>1.7899999999999991</v>
      </c>
      <c r="F17" s="10">
        <f t="shared" si="3"/>
        <v>0.40000000000000036</v>
      </c>
      <c r="G17" s="10">
        <f t="shared" si="4"/>
        <v>0.16000000000000028</v>
      </c>
      <c r="H17" s="10">
        <f t="shared" si="5"/>
        <v>0.16000000000000028</v>
      </c>
      <c r="I17" s="10">
        <f t="shared" si="0"/>
        <v>0.40000000000000036</v>
      </c>
      <c r="J17" s="10">
        <f t="shared" si="6"/>
        <v>0.16000000000000028</v>
      </c>
      <c r="K17" s="10">
        <f t="shared" si="7"/>
        <v>0.16000000000000028</v>
      </c>
      <c r="L17" s="10">
        <f t="shared" si="1"/>
        <v>1.7899999999999991</v>
      </c>
      <c r="M17" s="10">
        <f t="shared" si="8"/>
        <v>3.2040999999999968</v>
      </c>
      <c r="N17" s="10">
        <f t="shared" si="9"/>
        <v>3.2040999999999968</v>
      </c>
    </row>
    <row r="18" spans="1:14" x14ac:dyDescent="0.25">
      <c r="A18">
        <f t="shared" si="2"/>
        <v>16</v>
      </c>
      <c r="B18">
        <f>Sheet1!F19</f>
        <v>-5.0000000000000711E-2</v>
      </c>
      <c r="C18">
        <f>Sheet1!G19</f>
        <v>0.14999999999999991</v>
      </c>
      <c r="D18">
        <f>Sheet1!H19</f>
        <v>0.75</v>
      </c>
      <c r="F18" s="10">
        <f t="shared" si="3"/>
        <v>5.0000000000000711E-2</v>
      </c>
      <c r="G18" s="10">
        <f t="shared" si="4"/>
        <v>2.5000000000000712E-3</v>
      </c>
      <c r="H18" s="10">
        <f t="shared" si="5"/>
        <v>2.5000000000000712E-3</v>
      </c>
      <c r="I18" s="10">
        <f t="shared" si="0"/>
        <v>0.14999999999999991</v>
      </c>
      <c r="J18" s="10">
        <f t="shared" si="6"/>
        <v>2.2499999999999975E-2</v>
      </c>
      <c r="K18" s="10">
        <f t="shared" si="7"/>
        <v>2.2499999999999975E-2</v>
      </c>
      <c r="L18" s="10">
        <f t="shared" si="1"/>
        <v>0.75</v>
      </c>
      <c r="M18" s="10">
        <f t="shared" si="8"/>
        <v>0.5625</v>
      </c>
      <c r="N18" s="10">
        <f t="shared" si="9"/>
        <v>0.5625</v>
      </c>
    </row>
    <row r="19" spans="1:14" x14ac:dyDescent="0.25">
      <c r="A19">
        <f t="shared" si="2"/>
        <v>17</v>
      </c>
      <c r="B19">
        <f>Sheet1!F20</f>
        <v>0.47000000000000064</v>
      </c>
      <c r="C19">
        <f>Sheet1!G20</f>
        <v>-3.0000000000001137E-2</v>
      </c>
      <c r="D19">
        <f>Sheet1!H20</f>
        <v>2.5599999999999987</v>
      </c>
      <c r="F19" s="10">
        <f t="shared" si="3"/>
        <v>0.47000000000000064</v>
      </c>
      <c r="G19" s="10">
        <f t="shared" si="4"/>
        <v>0.2209000000000006</v>
      </c>
      <c r="H19" s="10">
        <f t="shared" si="5"/>
        <v>0.2209000000000006</v>
      </c>
      <c r="I19" s="10">
        <f t="shared" si="0"/>
        <v>3.0000000000001137E-2</v>
      </c>
      <c r="J19" s="10">
        <f t="shared" si="6"/>
        <v>9.0000000000006817E-4</v>
      </c>
      <c r="K19" s="10">
        <f t="shared" si="7"/>
        <v>9.0000000000006817E-4</v>
      </c>
      <c r="L19" s="10">
        <f t="shared" si="1"/>
        <v>2.5599999999999987</v>
      </c>
      <c r="M19" s="10">
        <f t="shared" si="8"/>
        <v>6.5535999999999932</v>
      </c>
      <c r="N19" s="10">
        <f t="shared" si="9"/>
        <v>6.5535999999999932</v>
      </c>
    </row>
    <row r="20" spans="1:14" x14ac:dyDescent="0.25">
      <c r="A20">
        <f t="shared" si="2"/>
        <v>18</v>
      </c>
      <c r="B20">
        <f>Sheet1!F21</f>
        <v>-0.51999999999999957</v>
      </c>
      <c r="C20">
        <f>Sheet1!G21</f>
        <v>-0.39999999999999858</v>
      </c>
      <c r="D20">
        <f>Sheet1!H21</f>
        <v>0.62000000000000099</v>
      </c>
      <c r="F20" s="10">
        <f t="shared" si="3"/>
        <v>0.51999999999999957</v>
      </c>
      <c r="G20" s="10">
        <f t="shared" si="4"/>
        <v>0.27039999999999953</v>
      </c>
      <c r="H20" s="10">
        <f t="shared" si="5"/>
        <v>0.27039999999999953</v>
      </c>
      <c r="I20" s="10">
        <f t="shared" si="0"/>
        <v>0.39999999999999858</v>
      </c>
      <c r="J20" s="10">
        <f t="shared" si="6"/>
        <v>0.15999999999999887</v>
      </c>
      <c r="K20" s="10">
        <f t="shared" si="7"/>
        <v>0.15999999999999887</v>
      </c>
      <c r="L20" s="10">
        <f t="shared" si="1"/>
        <v>0.62000000000000099</v>
      </c>
      <c r="M20" s="10">
        <f t="shared" si="8"/>
        <v>0.38440000000000124</v>
      </c>
      <c r="N20" s="10">
        <f t="shared" si="9"/>
        <v>0.38440000000000124</v>
      </c>
    </row>
    <row r="21" spans="1:14" x14ac:dyDescent="0.25">
      <c r="A21">
        <f t="shared" si="2"/>
        <v>19</v>
      </c>
      <c r="B21">
        <f>Sheet1!F22</f>
        <v>0.60999999999999943</v>
      </c>
      <c r="C21">
        <f>Sheet1!G22</f>
        <v>0.53999999999999915</v>
      </c>
      <c r="D21">
        <f>Sheet1!H22</f>
        <v>2.34</v>
      </c>
      <c r="F21" s="10">
        <f t="shared" si="3"/>
        <v>0.60999999999999943</v>
      </c>
      <c r="G21" s="10">
        <f t="shared" si="4"/>
        <v>0.37209999999999932</v>
      </c>
      <c r="H21" s="10">
        <f t="shared" si="5"/>
        <v>0.37209999999999932</v>
      </c>
      <c r="I21" s="10">
        <f t="shared" si="0"/>
        <v>0.53999999999999915</v>
      </c>
      <c r="J21" s="10">
        <f t="shared" si="6"/>
        <v>0.29159999999999908</v>
      </c>
      <c r="K21" s="10">
        <f t="shared" si="7"/>
        <v>0.29159999999999908</v>
      </c>
      <c r="L21" s="10">
        <f t="shared" si="1"/>
        <v>2.34</v>
      </c>
      <c r="M21" s="10">
        <f t="shared" si="8"/>
        <v>5.4755999999999991</v>
      </c>
      <c r="N21" s="10">
        <f t="shared" si="9"/>
        <v>5.4755999999999991</v>
      </c>
    </row>
    <row r="22" spans="1:14" x14ac:dyDescent="0.25">
      <c r="A22">
        <f t="shared" si="2"/>
        <v>20</v>
      </c>
      <c r="B22">
        <f>Sheet1!F23</f>
        <v>-0.11000000000000121</v>
      </c>
      <c r="C22">
        <f>Sheet1!G23</f>
        <v>0.29000000000000004</v>
      </c>
      <c r="D22">
        <f>Sheet1!H23</f>
        <v>2.9200000000000017</v>
      </c>
      <c r="F22" s="10">
        <f t="shared" si="3"/>
        <v>0.11000000000000121</v>
      </c>
      <c r="G22" s="10">
        <f t="shared" si="4"/>
        <v>1.2100000000000265E-2</v>
      </c>
      <c r="H22" s="10">
        <f t="shared" si="5"/>
        <v>1.2100000000000265E-2</v>
      </c>
      <c r="I22" s="10">
        <f t="shared" si="0"/>
        <v>0.29000000000000004</v>
      </c>
      <c r="J22" s="10">
        <f t="shared" si="6"/>
        <v>8.4100000000000022E-2</v>
      </c>
      <c r="K22" s="10">
        <f t="shared" si="7"/>
        <v>8.4100000000000022E-2</v>
      </c>
      <c r="L22" s="10">
        <f t="shared" si="1"/>
        <v>2.9200000000000017</v>
      </c>
      <c r="M22" s="10">
        <f t="shared" si="8"/>
        <v>8.5264000000000095</v>
      </c>
      <c r="N22" s="10">
        <f t="shared" si="9"/>
        <v>8.5264000000000095</v>
      </c>
    </row>
    <row r="23" spans="1:14" x14ac:dyDescent="0.25">
      <c r="F23" s="22" t="s">
        <v>24</v>
      </c>
      <c r="G23" s="22"/>
      <c r="H23" s="22"/>
      <c r="I23" s="22"/>
      <c r="J23" s="22"/>
      <c r="K23" s="22"/>
      <c r="L23" s="22"/>
      <c r="M23" s="22"/>
      <c r="N23" s="22"/>
    </row>
    <row r="24" spans="1:14" x14ac:dyDescent="0.25">
      <c r="F24" s="10">
        <f>SUM(F3:F22)</f>
        <v>8.9900000000000073</v>
      </c>
      <c r="G24" s="10">
        <f t="shared" ref="G24:N24" si="10">SUM(G3:G22)</f>
        <v>5.9387000000000052</v>
      </c>
      <c r="H24" s="10">
        <f t="shared" si="10"/>
        <v>5.9387000000000052</v>
      </c>
      <c r="I24" s="10">
        <f t="shared" si="10"/>
        <v>9.3800000000000026</v>
      </c>
      <c r="J24" s="10">
        <f t="shared" si="10"/>
        <v>6.9144000000000068</v>
      </c>
      <c r="K24" s="10">
        <f t="shared" si="10"/>
        <v>6.9144000000000068</v>
      </c>
      <c r="L24" s="10">
        <f t="shared" si="10"/>
        <v>26.720000000000006</v>
      </c>
      <c r="M24" s="10">
        <f t="shared" si="10"/>
        <v>48.604600000000019</v>
      </c>
      <c r="N24" s="10">
        <f t="shared" si="10"/>
        <v>48.604600000000019</v>
      </c>
    </row>
    <row r="25" spans="1:14" x14ac:dyDescent="0.25">
      <c r="F25" s="9" t="s">
        <v>26</v>
      </c>
      <c r="G25" s="9" t="s">
        <v>27</v>
      </c>
      <c r="H25" s="9" t="s">
        <v>25</v>
      </c>
      <c r="I25" s="9" t="s">
        <v>26</v>
      </c>
      <c r="J25" s="9" t="s">
        <v>27</v>
      </c>
      <c r="K25" s="9" t="s">
        <v>25</v>
      </c>
      <c r="L25" s="9" t="s">
        <v>26</v>
      </c>
      <c r="M25" s="9" t="s">
        <v>27</v>
      </c>
      <c r="N25" s="9" t="s">
        <v>25</v>
      </c>
    </row>
    <row r="26" spans="1:14" x14ac:dyDescent="0.25">
      <c r="F26" s="10">
        <f>F24/20</f>
        <v>0.44950000000000034</v>
      </c>
      <c r="G26" s="10">
        <f>G24/20</f>
        <v>0.29693500000000028</v>
      </c>
      <c r="H26" s="10">
        <f>SQRT(G26)</f>
        <v>0.54491742493702688</v>
      </c>
      <c r="I26" s="10">
        <f>I24/20</f>
        <v>0.46900000000000014</v>
      </c>
      <c r="J26" s="10">
        <f>J24/20</f>
        <v>0.34572000000000036</v>
      </c>
      <c r="K26" s="10">
        <f>SQRT(J26)</f>
        <v>0.58797959148256185</v>
      </c>
      <c r="L26" s="10">
        <f>L24/20</f>
        <v>1.3360000000000003</v>
      </c>
      <c r="M26" s="10">
        <f>M24/20</f>
        <v>2.4302300000000008</v>
      </c>
      <c r="N26" s="10">
        <f>SQRT(M26)</f>
        <v>1.5589194976008225</v>
      </c>
    </row>
  </sheetData>
  <mergeCells count="4">
    <mergeCell ref="F23:N23"/>
    <mergeCell ref="L1:N1"/>
    <mergeCell ref="I1:K1"/>
    <mergeCell ref="F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zoomScale="90" zoomScaleNormal="90" workbookViewId="0">
      <selection activeCell="U24" sqref="U24"/>
    </sheetView>
  </sheetViews>
  <sheetFormatPr defaultRowHeight="15" x14ac:dyDescent="0.25"/>
  <cols>
    <col min="2" max="13" width="6.28515625" customWidth="1"/>
  </cols>
  <sheetData>
    <row r="1" spans="1:13" x14ac:dyDescent="0.25">
      <c r="B1" s="23" t="s">
        <v>30</v>
      </c>
      <c r="C1" s="23"/>
      <c r="D1" s="23"/>
      <c r="E1" s="23" t="s">
        <v>29</v>
      </c>
      <c r="F1" s="23"/>
      <c r="G1" s="23"/>
      <c r="H1" s="23" t="s">
        <v>28</v>
      </c>
      <c r="I1" s="23"/>
      <c r="J1" s="23"/>
      <c r="K1" s="23" t="s">
        <v>31</v>
      </c>
      <c r="L1" s="23"/>
      <c r="M1" s="23"/>
    </row>
    <row r="2" spans="1:13" x14ac:dyDescent="0.25">
      <c r="A2">
        <v>0</v>
      </c>
      <c r="B2" s="8" t="s">
        <v>26</v>
      </c>
      <c r="C2" s="8" t="s">
        <v>27</v>
      </c>
      <c r="D2" s="8" t="s">
        <v>25</v>
      </c>
      <c r="E2" s="8" t="s">
        <v>26</v>
      </c>
      <c r="F2" s="8" t="s">
        <v>27</v>
      </c>
      <c r="G2" s="8" t="s">
        <v>25</v>
      </c>
      <c r="H2" s="8" t="s">
        <v>26</v>
      </c>
      <c r="I2" s="8" t="s">
        <v>27</v>
      </c>
      <c r="J2" s="8" t="s">
        <v>25</v>
      </c>
      <c r="K2" s="8" t="s">
        <v>26</v>
      </c>
      <c r="L2" s="8" t="s">
        <v>27</v>
      </c>
      <c r="M2" s="8" t="s">
        <v>25</v>
      </c>
    </row>
    <row r="3" spans="1:13" x14ac:dyDescent="0.25">
      <c r="A3">
        <v>1</v>
      </c>
      <c r="B3" s="2">
        <f>ABS(Sheet1!B4)</f>
        <v>1.1600000000000001</v>
      </c>
      <c r="C3" s="2">
        <f>B3^2</f>
        <v>1.3456000000000004</v>
      </c>
      <c r="D3" s="2">
        <f>C3</f>
        <v>1.3456000000000004</v>
      </c>
      <c r="E3" s="2">
        <f>ABS(Sheet1!C4)</f>
        <v>0.56999999999999318</v>
      </c>
      <c r="F3" s="2">
        <f>E3^2</f>
        <v>0.32489999999999225</v>
      </c>
      <c r="G3" s="2">
        <f>F3</f>
        <v>0.32489999999999225</v>
      </c>
      <c r="H3" s="2">
        <f>ABS(Sheet1!D4)</f>
        <v>0.81000000000000227</v>
      </c>
      <c r="I3" s="2">
        <f>H3^2</f>
        <v>0.65610000000000368</v>
      </c>
      <c r="J3" s="2">
        <f>I3</f>
        <v>0.65610000000000368</v>
      </c>
      <c r="K3" s="2">
        <f>ABS(Sheet1!E4)</f>
        <v>2.3700000000000045</v>
      </c>
      <c r="L3" s="2">
        <f>K3^2</f>
        <v>5.6169000000000215</v>
      </c>
      <c r="M3" s="2">
        <f>L3</f>
        <v>5.6169000000000215</v>
      </c>
    </row>
    <row r="4" spans="1:13" x14ac:dyDescent="0.25">
      <c r="A4">
        <f t="shared" ref="A4:A22" si="0">A3+1</f>
        <v>2</v>
      </c>
      <c r="B4" s="2">
        <f>ABS(Sheet1!B5)</f>
        <v>1.0100000000000016</v>
      </c>
      <c r="C4" s="2">
        <f t="shared" ref="C4:C22" si="1">B4^2</f>
        <v>1.0201000000000031</v>
      </c>
      <c r="D4" s="2">
        <f t="shared" ref="D4:D22" si="2">C4</f>
        <v>1.0201000000000031</v>
      </c>
      <c r="E4" s="2">
        <f>ABS(Sheet1!C5)</f>
        <v>2.2999999999999972</v>
      </c>
      <c r="F4" s="2">
        <f t="shared" ref="F4:F22" si="3">E4^2</f>
        <v>5.2899999999999867</v>
      </c>
      <c r="G4" s="2">
        <f t="shared" ref="G4:G22" si="4">F4</f>
        <v>5.2899999999999867</v>
      </c>
      <c r="H4" s="2">
        <f>ABS(Sheet1!D5)</f>
        <v>1.7599999999999909</v>
      </c>
      <c r="I4" s="2">
        <f t="shared" ref="I4:I22" si="5">H4^2</f>
        <v>3.0975999999999679</v>
      </c>
      <c r="J4" s="2">
        <f t="shared" ref="J4:J22" si="6">I4</f>
        <v>3.0975999999999679</v>
      </c>
      <c r="K4" s="2">
        <f>ABS(Sheet1!E5)</f>
        <v>0.56000000000000227</v>
      </c>
      <c r="L4" s="2">
        <f t="shared" ref="L4:L22" si="7">K4^2</f>
        <v>0.31360000000000254</v>
      </c>
      <c r="M4" s="2">
        <f t="shared" ref="M4:M22" si="8">L4</f>
        <v>0.31360000000000254</v>
      </c>
    </row>
    <row r="5" spans="1:13" x14ac:dyDescent="0.25">
      <c r="A5">
        <f t="shared" si="0"/>
        <v>3</v>
      </c>
      <c r="B5" s="2">
        <f>ABS(Sheet1!B6)</f>
        <v>8.0000000000000071E-2</v>
      </c>
      <c r="C5" s="2">
        <f t="shared" si="1"/>
        <v>6.4000000000000116E-3</v>
      </c>
      <c r="D5" s="2">
        <f t="shared" si="2"/>
        <v>6.4000000000000116E-3</v>
      </c>
      <c r="E5" s="2">
        <f>ABS(Sheet1!C6)</f>
        <v>13.36</v>
      </c>
      <c r="F5" s="2">
        <f t="shared" si="3"/>
        <v>178.4896</v>
      </c>
      <c r="G5" s="2">
        <f t="shared" si="4"/>
        <v>178.4896</v>
      </c>
      <c r="H5" s="2">
        <f>ABS(Sheet1!D6)</f>
        <v>11.480000000000004</v>
      </c>
      <c r="I5" s="2">
        <f t="shared" si="5"/>
        <v>131.79040000000009</v>
      </c>
      <c r="J5" s="2">
        <f t="shared" si="6"/>
        <v>131.79040000000009</v>
      </c>
      <c r="K5" s="2">
        <f>ABS(Sheet1!E6)</f>
        <v>14.11999999999999</v>
      </c>
      <c r="L5" s="2">
        <f t="shared" si="7"/>
        <v>199.37439999999972</v>
      </c>
      <c r="M5" s="2">
        <f t="shared" si="8"/>
        <v>199.37439999999972</v>
      </c>
    </row>
    <row r="6" spans="1:13" x14ac:dyDescent="0.25">
      <c r="A6">
        <f t="shared" si="0"/>
        <v>4</v>
      </c>
      <c r="B6" s="2">
        <f>ABS(Sheet1!B7)</f>
        <v>2.5900000000000034</v>
      </c>
      <c r="C6" s="2">
        <f t="shared" si="1"/>
        <v>6.7081000000000177</v>
      </c>
      <c r="D6" s="2">
        <f t="shared" si="2"/>
        <v>6.7081000000000177</v>
      </c>
      <c r="E6" s="2">
        <f>ABS(Sheet1!C7)</f>
        <v>10.63000000000001</v>
      </c>
      <c r="F6" s="2">
        <f t="shared" si="3"/>
        <v>112.99690000000021</v>
      </c>
      <c r="G6" s="2">
        <f t="shared" si="4"/>
        <v>112.99690000000021</v>
      </c>
      <c r="H6" s="2">
        <f>ABS(Sheet1!D7)</f>
        <v>12.02000000000001</v>
      </c>
      <c r="I6" s="2">
        <f t="shared" si="5"/>
        <v>144.48040000000026</v>
      </c>
      <c r="J6" s="2">
        <f t="shared" si="6"/>
        <v>144.48040000000026</v>
      </c>
      <c r="K6" s="2">
        <f>ABS(Sheet1!E7)</f>
        <v>11.379999999999995</v>
      </c>
      <c r="L6" s="2">
        <f t="shared" si="7"/>
        <v>129.50439999999989</v>
      </c>
      <c r="M6" s="2">
        <f t="shared" si="8"/>
        <v>129.50439999999989</v>
      </c>
    </row>
    <row r="7" spans="1:13" x14ac:dyDescent="0.25">
      <c r="A7">
        <f t="shared" si="0"/>
        <v>5</v>
      </c>
      <c r="B7" s="2">
        <f>ABS(Sheet1!B8)</f>
        <v>6.6199999999999761</v>
      </c>
      <c r="C7" s="2">
        <f t="shared" si="1"/>
        <v>43.824399999999684</v>
      </c>
      <c r="D7" s="2">
        <f t="shared" si="2"/>
        <v>43.824399999999684</v>
      </c>
      <c r="E7" s="2">
        <f>ABS(Sheet1!C8)</f>
        <v>5.0600000000000023</v>
      </c>
      <c r="F7" s="2">
        <f t="shared" si="3"/>
        <v>25.603600000000021</v>
      </c>
      <c r="G7" s="2">
        <f t="shared" si="4"/>
        <v>25.603600000000021</v>
      </c>
      <c r="H7" s="2">
        <f>ABS(Sheet1!D8)</f>
        <v>6.7399999999999949</v>
      </c>
      <c r="I7" s="2">
        <f t="shared" si="5"/>
        <v>45.427599999999934</v>
      </c>
      <c r="J7" s="2">
        <f t="shared" si="6"/>
        <v>45.427599999999934</v>
      </c>
      <c r="K7" s="2">
        <f>ABS(Sheet1!E8)</f>
        <v>6</v>
      </c>
      <c r="L7" s="2">
        <f t="shared" si="7"/>
        <v>36</v>
      </c>
      <c r="M7" s="2">
        <f t="shared" si="8"/>
        <v>36</v>
      </c>
    </row>
    <row r="8" spans="1:13" x14ac:dyDescent="0.25">
      <c r="A8">
        <f t="shared" si="0"/>
        <v>6</v>
      </c>
      <c r="B8" s="2">
        <f>ABS(Sheet1!B9)</f>
        <v>2.7099999999999937</v>
      </c>
      <c r="C8" s="2">
        <f t="shared" si="1"/>
        <v>7.3440999999999663</v>
      </c>
      <c r="D8" s="2">
        <f t="shared" si="2"/>
        <v>7.3440999999999663</v>
      </c>
      <c r="E8" s="2">
        <f>ABS(Sheet1!C9)</f>
        <v>10.820000000000007</v>
      </c>
      <c r="F8" s="2">
        <f t="shared" si="3"/>
        <v>117.07240000000016</v>
      </c>
      <c r="G8" s="2">
        <f t="shared" si="4"/>
        <v>117.07240000000016</v>
      </c>
      <c r="H8" s="2">
        <f>ABS(Sheet1!D9)</f>
        <v>11.820000000000007</v>
      </c>
      <c r="I8" s="2">
        <f t="shared" si="5"/>
        <v>139.71240000000017</v>
      </c>
      <c r="J8" s="2">
        <f t="shared" si="6"/>
        <v>139.71240000000017</v>
      </c>
      <c r="K8" s="2">
        <f>ABS(Sheet1!E9)</f>
        <v>9.0900000000000034</v>
      </c>
      <c r="L8" s="2">
        <f t="shared" si="7"/>
        <v>82.62810000000006</v>
      </c>
      <c r="M8" s="2">
        <f t="shared" si="8"/>
        <v>82.62810000000006</v>
      </c>
    </row>
    <row r="9" spans="1:13" x14ac:dyDescent="0.25">
      <c r="A9">
        <f t="shared" si="0"/>
        <v>7</v>
      </c>
      <c r="B9" s="2">
        <f>ABS(Sheet1!B10)</f>
        <v>3.0599999999999952</v>
      </c>
      <c r="C9" s="2">
        <f t="shared" si="1"/>
        <v>9.3635999999999697</v>
      </c>
      <c r="D9" s="2">
        <f t="shared" si="2"/>
        <v>9.3635999999999697</v>
      </c>
      <c r="E9" s="2">
        <f>ABS(Sheet1!C10)</f>
        <v>2.1199999999999903</v>
      </c>
      <c r="F9" s="2">
        <f t="shared" si="3"/>
        <v>4.4943999999999589</v>
      </c>
      <c r="G9" s="2">
        <f t="shared" si="4"/>
        <v>4.4943999999999589</v>
      </c>
      <c r="H9" s="2">
        <f>ABS(Sheet1!D10)</f>
        <v>1.1299999999999955</v>
      </c>
      <c r="I9" s="2">
        <f t="shared" si="5"/>
        <v>1.2768999999999897</v>
      </c>
      <c r="J9" s="2">
        <f t="shared" si="6"/>
        <v>1.2768999999999897</v>
      </c>
      <c r="K9" s="2">
        <f>ABS(Sheet1!E10)</f>
        <v>2.1400000000000006</v>
      </c>
      <c r="L9" s="2">
        <f t="shared" si="7"/>
        <v>4.5796000000000028</v>
      </c>
      <c r="M9" s="2">
        <f t="shared" si="8"/>
        <v>4.5796000000000028</v>
      </c>
    </row>
    <row r="10" spans="1:13" x14ac:dyDescent="0.25">
      <c r="A10">
        <f t="shared" si="0"/>
        <v>8</v>
      </c>
      <c r="B10" s="2">
        <f>ABS(Sheet1!B11)</f>
        <v>5.6800000000000033</v>
      </c>
      <c r="C10" s="2">
        <f t="shared" si="1"/>
        <v>32.262400000000035</v>
      </c>
      <c r="D10" s="2">
        <f t="shared" si="2"/>
        <v>32.262400000000035</v>
      </c>
      <c r="E10" s="2">
        <f>ABS(Sheet1!C11)</f>
        <v>3.2999999999999972</v>
      </c>
      <c r="F10" s="2">
        <f t="shared" si="3"/>
        <v>10.889999999999981</v>
      </c>
      <c r="G10" s="2">
        <f t="shared" si="4"/>
        <v>10.889999999999981</v>
      </c>
      <c r="H10" s="2">
        <f>ABS(Sheet1!D11)</f>
        <v>5.6400000000000148</v>
      </c>
      <c r="I10" s="2">
        <f t="shared" si="5"/>
        <v>31.809600000000167</v>
      </c>
      <c r="J10" s="2">
        <f t="shared" si="6"/>
        <v>31.809600000000167</v>
      </c>
      <c r="K10" s="2">
        <f>ABS(Sheet1!E11)</f>
        <v>2.3400000000000034</v>
      </c>
      <c r="L10" s="2">
        <f t="shared" si="7"/>
        <v>5.475600000000016</v>
      </c>
      <c r="M10" s="2">
        <f t="shared" si="8"/>
        <v>5.475600000000016</v>
      </c>
    </row>
    <row r="11" spans="1:13" x14ac:dyDescent="0.25">
      <c r="A11">
        <f t="shared" si="0"/>
        <v>9</v>
      </c>
      <c r="B11" s="2">
        <f>ABS(Sheet1!B12)</f>
        <v>0.13999999999998636</v>
      </c>
      <c r="C11" s="2">
        <f t="shared" si="1"/>
        <v>1.959999999999618E-2</v>
      </c>
      <c r="D11" s="2">
        <f t="shared" si="2"/>
        <v>1.959999999999618E-2</v>
      </c>
      <c r="E11" s="2">
        <f>ABS(Sheet1!C12)</f>
        <v>5.8700000000000045</v>
      </c>
      <c r="F11" s="2">
        <f t="shared" si="3"/>
        <v>34.456900000000054</v>
      </c>
      <c r="G11" s="2">
        <f t="shared" si="4"/>
        <v>34.456900000000054</v>
      </c>
      <c r="H11" s="2">
        <f>ABS(Sheet1!D12)</f>
        <v>9.1500000000000057</v>
      </c>
      <c r="I11" s="2">
        <f t="shared" si="5"/>
        <v>83.72250000000011</v>
      </c>
      <c r="J11" s="2">
        <f t="shared" si="6"/>
        <v>83.72250000000011</v>
      </c>
      <c r="K11" s="2">
        <f>ABS(Sheet1!E12)</f>
        <v>3.2399999999999949</v>
      </c>
      <c r="L11" s="2">
        <f t="shared" si="7"/>
        <v>10.497599999999967</v>
      </c>
      <c r="M11" s="2">
        <f t="shared" si="8"/>
        <v>10.497599999999967</v>
      </c>
    </row>
    <row r="12" spans="1:13" x14ac:dyDescent="0.25">
      <c r="A12">
        <f t="shared" si="0"/>
        <v>10</v>
      </c>
      <c r="B12" s="2">
        <f>ABS(Sheet1!B13)</f>
        <v>0.53000000000000114</v>
      </c>
      <c r="C12" s="2">
        <f t="shared" si="1"/>
        <v>0.2809000000000012</v>
      </c>
      <c r="D12" s="2">
        <f t="shared" si="2"/>
        <v>0.2809000000000012</v>
      </c>
      <c r="E12" s="2">
        <f>ABS(Sheet1!C13)</f>
        <v>10.680000000000007</v>
      </c>
      <c r="F12" s="2">
        <f t="shared" si="3"/>
        <v>114.06240000000014</v>
      </c>
      <c r="G12" s="2">
        <f t="shared" si="4"/>
        <v>114.06240000000014</v>
      </c>
      <c r="H12" s="2">
        <f>ABS(Sheet1!D13)</f>
        <v>13.86</v>
      </c>
      <c r="I12" s="2">
        <f t="shared" si="5"/>
        <v>192.09959999999998</v>
      </c>
      <c r="J12" s="2">
        <f t="shared" si="6"/>
        <v>192.09959999999998</v>
      </c>
      <c r="K12" s="2">
        <f>ABS(Sheet1!E13)</f>
        <v>8.0499999999999972</v>
      </c>
      <c r="L12" s="2">
        <f t="shared" si="7"/>
        <v>64.802499999999952</v>
      </c>
      <c r="M12" s="2">
        <f t="shared" si="8"/>
        <v>64.802499999999952</v>
      </c>
    </row>
    <row r="13" spans="1:13" x14ac:dyDescent="0.25">
      <c r="A13">
        <f t="shared" si="0"/>
        <v>11</v>
      </c>
      <c r="B13" s="2">
        <f>ABS(Sheet1!B14)</f>
        <v>4.0500000000000007</v>
      </c>
      <c r="C13" s="2">
        <f t="shared" si="1"/>
        <v>16.402500000000007</v>
      </c>
      <c r="D13" s="2">
        <f t="shared" si="2"/>
        <v>16.402500000000007</v>
      </c>
      <c r="E13" s="2">
        <f>ABS(Sheet1!C14)</f>
        <v>1.9300000000000068</v>
      </c>
      <c r="F13" s="2">
        <f t="shared" si="3"/>
        <v>3.7249000000000265</v>
      </c>
      <c r="G13" s="2">
        <f t="shared" si="4"/>
        <v>3.7249000000000265</v>
      </c>
      <c r="H13" s="2">
        <f>ABS(Sheet1!D14)</f>
        <v>3.0980000000000132</v>
      </c>
      <c r="I13" s="2">
        <f t="shared" si="5"/>
        <v>9.5976040000000822</v>
      </c>
      <c r="J13" s="2">
        <f t="shared" si="6"/>
        <v>9.5976040000000822</v>
      </c>
      <c r="K13" s="2">
        <f>ABS(Sheet1!E14)</f>
        <v>5.0300000000000011</v>
      </c>
      <c r="L13" s="2">
        <f t="shared" si="7"/>
        <v>25.300900000000013</v>
      </c>
      <c r="M13" s="2">
        <f t="shared" si="8"/>
        <v>25.300900000000013</v>
      </c>
    </row>
    <row r="14" spans="1:13" x14ac:dyDescent="0.25">
      <c r="A14">
        <f t="shared" si="0"/>
        <v>12</v>
      </c>
      <c r="B14" s="2">
        <f>ABS(Sheet1!B15)</f>
        <v>0.23999999999999488</v>
      </c>
      <c r="C14" s="2">
        <f t="shared" si="1"/>
        <v>5.7599999999997542E-2</v>
      </c>
      <c r="D14" s="2">
        <f t="shared" si="2"/>
        <v>5.7599999999997542E-2</v>
      </c>
      <c r="E14" s="2">
        <f>ABS(Sheet1!C15)</f>
        <v>4.2700000000000102</v>
      </c>
      <c r="F14" s="2">
        <f t="shared" si="3"/>
        <v>18.232900000000086</v>
      </c>
      <c r="G14" s="2">
        <f t="shared" si="4"/>
        <v>18.232900000000086</v>
      </c>
      <c r="H14" s="2">
        <f>ABS(Sheet1!D15)</f>
        <v>0.48999999999999488</v>
      </c>
      <c r="I14" s="2">
        <f t="shared" si="5"/>
        <v>0.24009999999999498</v>
      </c>
      <c r="J14" s="2">
        <f t="shared" si="6"/>
        <v>0.24009999999999498</v>
      </c>
      <c r="K14" s="2">
        <f>ABS(Sheet1!E15)</f>
        <v>4.7700000000000102</v>
      </c>
      <c r="L14" s="2">
        <f t="shared" si="7"/>
        <v>22.752900000000096</v>
      </c>
      <c r="M14" s="2">
        <f t="shared" si="8"/>
        <v>22.752900000000096</v>
      </c>
    </row>
    <row r="15" spans="1:13" x14ac:dyDescent="0.25">
      <c r="A15">
        <f t="shared" si="0"/>
        <v>13</v>
      </c>
      <c r="B15" s="2">
        <f>ABS(Sheet1!B16)</f>
        <v>4.1700000000000017</v>
      </c>
      <c r="C15" s="2">
        <f t="shared" si="1"/>
        <v>17.388900000000014</v>
      </c>
      <c r="D15" s="2">
        <f t="shared" si="2"/>
        <v>17.388900000000014</v>
      </c>
      <c r="E15" s="2">
        <f>ABS(Sheet1!C16)</f>
        <v>4.3500000000000085</v>
      </c>
      <c r="F15" s="2">
        <f t="shared" si="3"/>
        <v>18.922500000000074</v>
      </c>
      <c r="G15" s="2">
        <f t="shared" si="4"/>
        <v>18.922500000000074</v>
      </c>
      <c r="H15" s="2">
        <f>ABS(Sheet1!D16)</f>
        <v>7.2900000000000063</v>
      </c>
      <c r="I15" s="2">
        <f t="shared" si="5"/>
        <v>53.144100000000094</v>
      </c>
      <c r="J15" s="2">
        <f t="shared" si="6"/>
        <v>53.144100000000094</v>
      </c>
      <c r="K15" s="2">
        <f>ABS(Sheet1!E16)</f>
        <v>2.9500000000000028</v>
      </c>
      <c r="L15" s="2">
        <f t="shared" si="7"/>
        <v>8.7025000000000166</v>
      </c>
      <c r="M15" s="2">
        <f t="shared" si="8"/>
        <v>8.7025000000000166</v>
      </c>
    </row>
    <row r="16" spans="1:13" x14ac:dyDescent="0.25">
      <c r="A16">
        <f t="shared" si="0"/>
        <v>14</v>
      </c>
      <c r="B16" s="2">
        <f>ABS(Sheet1!B17)</f>
        <v>0.93000000000000682</v>
      </c>
      <c r="C16" s="2">
        <f t="shared" si="1"/>
        <v>0.86490000000001266</v>
      </c>
      <c r="D16" s="2">
        <f t="shared" si="2"/>
        <v>0.86490000000001266</v>
      </c>
      <c r="E16" s="2">
        <f>ABS(Sheet1!C17)</f>
        <v>3.6599999999999966</v>
      </c>
      <c r="F16" s="2">
        <f t="shared" si="3"/>
        <v>13.395599999999975</v>
      </c>
      <c r="G16" s="2">
        <f t="shared" si="4"/>
        <v>13.395599999999975</v>
      </c>
      <c r="H16" s="2">
        <f>ABS(Sheet1!D17)</f>
        <v>5.5</v>
      </c>
      <c r="I16" s="2">
        <f t="shared" si="5"/>
        <v>30.25</v>
      </c>
      <c r="J16" s="2">
        <f t="shared" si="6"/>
        <v>30.25</v>
      </c>
      <c r="K16" s="2">
        <f>ABS(Sheet1!E17)</f>
        <v>1.8400000000000034</v>
      </c>
      <c r="L16" s="2">
        <f t="shared" si="7"/>
        <v>3.3856000000000126</v>
      </c>
      <c r="M16" s="2">
        <f t="shared" si="8"/>
        <v>3.3856000000000126</v>
      </c>
    </row>
    <row r="17" spans="1:13" x14ac:dyDescent="0.25">
      <c r="A17">
        <f t="shared" si="0"/>
        <v>15</v>
      </c>
      <c r="B17" s="2">
        <f>ABS(Sheet1!B18)</f>
        <v>3.2299999999999969</v>
      </c>
      <c r="C17" s="2">
        <f t="shared" si="1"/>
        <v>10.432899999999981</v>
      </c>
      <c r="D17" s="2">
        <f t="shared" si="2"/>
        <v>10.432899999999981</v>
      </c>
      <c r="E17" s="2">
        <f>ABS(Sheet1!C18)</f>
        <v>5.210000000000008</v>
      </c>
      <c r="F17" s="2">
        <f t="shared" si="3"/>
        <v>27.144100000000083</v>
      </c>
      <c r="G17" s="2">
        <f t="shared" si="4"/>
        <v>27.144100000000083</v>
      </c>
      <c r="H17" s="2">
        <f>ABS(Sheet1!D18)</f>
        <v>6.4699999999999989</v>
      </c>
      <c r="I17" s="2">
        <f t="shared" si="5"/>
        <v>41.860899999999987</v>
      </c>
      <c r="J17" s="2">
        <f t="shared" si="6"/>
        <v>41.860899999999987</v>
      </c>
      <c r="K17" s="2">
        <f>ABS(Sheet1!E18)</f>
        <v>1.259999999999998</v>
      </c>
      <c r="L17" s="2">
        <f t="shared" si="7"/>
        <v>1.587599999999995</v>
      </c>
      <c r="M17" s="2">
        <f t="shared" si="8"/>
        <v>1.587599999999995</v>
      </c>
    </row>
    <row r="18" spans="1:13" x14ac:dyDescent="0.25">
      <c r="A18">
        <f t="shared" si="0"/>
        <v>16</v>
      </c>
      <c r="B18" s="2">
        <f>ABS(Sheet1!B19)</f>
        <v>0.91000000000000014</v>
      </c>
      <c r="C18" s="2">
        <f t="shared" si="1"/>
        <v>0.82810000000000028</v>
      </c>
      <c r="D18" s="2">
        <f t="shared" si="2"/>
        <v>0.82810000000000028</v>
      </c>
      <c r="E18" s="2">
        <f>ABS(Sheet1!C19)</f>
        <v>2.1799999999999926</v>
      </c>
      <c r="F18" s="2">
        <f t="shared" si="3"/>
        <v>4.7523999999999678</v>
      </c>
      <c r="G18" s="2">
        <f t="shared" si="4"/>
        <v>4.7523999999999678</v>
      </c>
      <c r="H18" s="2">
        <f>ABS(Sheet1!D19)</f>
        <v>2.75</v>
      </c>
      <c r="I18" s="2">
        <f t="shared" si="5"/>
        <v>7.5625</v>
      </c>
      <c r="J18" s="2">
        <f t="shared" si="6"/>
        <v>7.5625</v>
      </c>
      <c r="K18" s="2">
        <f>ABS(Sheet1!E19)</f>
        <v>0.57999999999999829</v>
      </c>
      <c r="L18" s="2">
        <f t="shared" si="7"/>
        <v>0.33639999999999803</v>
      </c>
      <c r="M18" s="2">
        <f t="shared" si="8"/>
        <v>0.33639999999999803</v>
      </c>
    </row>
    <row r="19" spans="1:13" x14ac:dyDescent="0.25">
      <c r="A19">
        <f t="shared" si="0"/>
        <v>17</v>
      </c>
      <c r="B19" s="2">
        <f>ABS(Sheet1!B20)</f>
        <v>1.0900000000000034</v>
      </c>
      <c r="C19" s="2">
        <f t="shared" si="1"/>
        <v>1.1881000000000075</v>
      </c>
      <c r="D19" s="2">
        <f t="shared" si="2"/>
        <v>1.1881000000000075</v>
      </c>
      <c r="E19" s="2">
        <f>ABS(Sheet1!C20)</f>
        <v>11.75</v>
      </c>
      <c r="F19" s="2">
        <f t="shared" si="3"/>
        <v>138.0625</v>
      </c>
      <c r="G19" s="2">
        <f t="shared" si="4"/>
        <v>138.0625</v>
      </c>
      <c r="H19" s="2">
        <f>ABS(Sheet1!D20)</f>
        <v>21.929999999999993</v>
      </c>
      <c r="I19" s="2">
        <f t="shared" si="5"/>
        <v>480.9248999999997</v>
      </c>
      <c r="J19" s="2">
        <f t="shared" si="6"/>
        <v>480.9248999999997</v>
      </c>
      <c r="K19" s="2">
        <f>ABS(Sheet1!E20)</f>
        <v>8.1899999999999977</v>
      </c>
      <c r="L19" s="2">
        <f t="shared" si="7"/>
        <v>67.076099999999968</v>
      </c>
      <c r="M19" s="2">
        <f t="shared" si="8"/>
        <v>67.076099999999968</v>
      </c>
    </row>
    <row r="20" spans="1:13" x14ac:dyDescent="0.25">
      <c r="A20">
        <f t="shared" si="0"/>
        <v>18</v>
      </c>
      <c r="B20" s="2">
        <f>ABS(Sheet1!B21)</f>
        <v>3.4299999999999997</v>
      </c>
      <c r="C20" s="2">
        <f t="shared" si="1"/>
        <v>11.764899999999997</v>
      </c>
      <c r="D20" s="2">
        <f t="shared" si="2"/>
        <v>11.764899999999997</v>
      </c>
      <c r="E20" s="2">
        <f>ABS(Sheet1!C21)</f>
        <v>3.9699999999999989</v>
      </c>
      <c r="F20" s="2">
        <f t="shared" si="3"/>
        <v>15.760899999999991</v>
      </c>
      <c r="G20" s="2">
        <f t="shared" si="4"/>
        <v>15.760899999999991</v>
      </c>
      <c r="H20" s="2">
        <f>ABS(Sheet1!D21)</f>
        <v>11.460000000000008</v>
      </c>
      <c r="I20" s="2">
        <f t="shared" si="5"/>
        <v>131.33160000000018</v>
      </c>
      <c r="J20" s="2">
        <f t="shared" si="6"/>
        <v>131.33160000000018</v>
      </c>
      <c r="K20" s="2">
        <f>ABS(Sheet1!E21)</f>
        <v>7.5</v>
      </c>
      <c r="L20" s="2">
        <f t="shared" si="7"/>
        <v>56.25</v>
      </c>
      <c r="M20" s="2">
        <f t="shared" si="8"/>
        <v>56.25</v>
      </c>
    </row>
    <row r="21" spans="1:13" x14ac:dyDescent="0.25">
      <c r="A21">
        <f t="shared" si="0"/>
        <v>19</v>
      </c>
      <c r="B21" s="2">
        <f>ABS(Sheet1!B22)</f>
        <v>2.240000000000002</v>
      </c>
      <c r="C21" s="2">
        <f t="shared" si="1"/>
        <v>5.0176000000000087</v>
      </c>
      <c r="D21" s="2">
        <f t="shared" si="2"/>
        <v>5.0176000000000087</v>
      </c>
      <c r="E21" s="2">
        <f>ABS(Sheet1!C22)</f>
        <v>6.9300000000000068</v>
      </c>
      <c r="F21" s="2">
        <f t="shared" si="3"/>
        <v>48.024900000000095</v>
      </c>
      <c r="G21" s="2">
        <f t="shared" si="4"/>
        <v>48.024900000000095</v>
      </c>
      <c r="H21" s="2">
        <f>ABS(Sheet1!D22)</f>
        <v>10.689999999999998</v>
      </c>
      <c r="I21" s="2">
        <f t="shared" si="5"/>
        <v>114.27609999999996</v>
      </c>
      <c r="J21" s="2">
        <f t="shared" si="6"/>
        <v>114.27609999999996</v>
      </c>
      <c r="K21" s="2">
        <f>ABS(Sheet1!E22)</f>
        <v>5.7599999999999909</v>
      </c>
      <c r="L21" s="2">
        <f t="shared" si="7"/>
        <v>33.177599999999899</v>
      </c>
      <c r="M21" s="2">
        <f t="shared" si="8"/>
        <v>33.177599999999899</v>
      </c>
    </row>
    <row r="22" spans="1:13" x14ac:dyDescent="0.25">
      <c r="A22">
        <f t="shared" si="0"/>
        <v>20</v>
      </c>
      <c r="B22" s="2">
        <f>ABS(Sheet1!B23)</f>
        <v>1.7800000000000011</v>
      </c>
      <c r="C22" s="2">
        <f t="shared" si="1"/>
        <v>3.1684000000000041</v>
      </c>
      <c r="D22" s="2">
        <f t="shared" si="2"/>
        <v>3.1684000000000041</v>
      </c>
      <c r="E22" s="2">
        <f>ABS(Sheet1!C23)</f>
        <v>8.5999999999999943</v>
      </c>
      <c r="F22" s="2">
        <f t="shared" si="3"/>
        <v>73.959999999999908</v>
      </c>
      <c r="G22" s="2">
        <f t="shared" si="4"/>
        <v>73.959999999999908</v>
      </c>
      <c r="H22" s="2">
        <f>ABS(Sheet1!D23)</f>
        <v>10.530000000000001</v>
      </c>
      <c r="I22" s="2">
        <f t="shared" si="5"/>
        <v>110.88090000000003</v>
      </c>
      <c r="J22" s="2">
        <f t="shared" si="6"/>
        <v>110.88090000000003</v>
      </c>
      <c r="K22" s="2">
        <f>ABS(Sheet1!E23)</f>
        <v>7.93</v>
      </c>
      <c r="L22" s="2">
        <f t="shared" si="7"/>
        <v>62.884899999999995</v>
      </c>
      <c r="M22" s="2">
        <f t="shared" si="8"/>
        <v>62.884899999999995</v>
      </c>
    </row>
    <row r="23" spans="1:13" x14ac:dyDescent="0.25">
      <c r="B23" s="23" t="s">
        <v>24</v>
      </c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</row>
    <row r="24" spans="1:13" x14ac:dyDescent="0.25">
      <c r="B24" s="2">
        <f>SUM(B3:B22)</f>
        <v>45.649999999999963</v>
      </c>
      <c r="C24" s="2">
        <f t="shared" ref="C24:M24" si="9">SUM(C3:C22)</f>
        <v>169.28909999999971</v>
      </c>
      <c r="D24" s="2">
        <f t="shared" si="9"/>
        <v>169.28909999999971</v>
      </c>
      <c r="E24" s="2">
        <f t="shared" si="9"/>
        <v>117.56000000000003</v>
      </c>
      <c r="F24" s="2">
        <f t="shared" si="9"/>
        <v>965.66180000000088</v>
      </c>
      <c r="G24" s="2">
        <f t="shared" si="9"/>
        <v>965.66180000000088</v>
      </c>
      <c r="H24" s="2">
        <f t="shared" si="9"/>
        <v>154.61800000000002</v>
      </c>
      <c r="I24" s="2">
        <f t="shared" si="9"/>
        <v>1754.141804000001</v>
      </c>
      <c r="J24" s="2">
        <f t="shared" si="9"/>
        <v>1754.141804000001</v>
      </c>
      <c r="K24" s="2">
        <f t="shared" si="9"/>
        <v>105.1</v>
      </c>
      <c r="L24" s="2">
        <f t="shared" si="9"/>
        <v>820.24719999999968</v>
      </c>
      <c r="M24" s="2">
        <f t="shared" si="9"/>
        <v>820.24719999999968</v>
      </c>
    </row>
    <row r="25" spans="1:13" x14ac:dyDescent="0.25">
      <c r="B25" s="8" t="s">
        <v>26</v>
      </c>
      <c r="C25" s="8" t="s">
        <v>27</v>
      </c>
      <c r="D25" s="8" t="s">
        <v>25</v>
      </c>
      <c r="E25" s="8" t="s">
        <v>26</v>
      </c>
      <c r="F25" s="8" t="s">
        <v>27</v>
      </c>
      <c r="G25" s="8" t="s">
        <v>25</v>
      </c>
      <c r="H25" s="8" t="s">
        <v>26</v>
      </c>
      <c r="I25" s="8" t="s">
        <v>27</v>
      </c>
      <c r="J25" s="8" t="s">
        <v>25</v>
      </c>
      <c r="K25" s="8" t="s">
        <v>26</v>
      </c>
      <c r="L25" s="8" t="s">
        <v>27</v>
      </c>
      <c r="M25" s="8" t="s">
        <v>25</v>
      </c>
    </row>
    <row r="26" spans="1:13" x14ac:dyDescent="0.25">
      <c r="B26" s="2">
        <f>B24/20</f>
        <v>2.282499999999998</v>
      </c>
      <c r="C26" s="2">
        <f>C24/20</f>
        <v>8.464454999999985</v>
      </c>
      <c r="D26" s="2">
        <f>SQRT(C26)</f>
        <v>2.9093736439309379</v>
      </c>
      <c r="E26" s="2">
        <f>E24/20</f>
        <v>5.8780000000000019</v>
      </c>
      <c r="F26" s="2">
        <f>F24/20</f>
        <v>48.283090000000044</v>
      </c>
      <c r="G26" s="2">
        <f>SQRT(F26)</f>
        <v>6.948603456810587</v>
      </c>
      <c r="H26" s="2">
        <f>H24/20</f>
        <v>7.730900000000001</v>
      </c>
      <c r="I26" s="2">
        <f>I24/20</f>
        <v>87.707090200000053</v>
      </c>
      <c r="J26" s="2">
        <f>SQRT(I26)</f>
        <v>9.365206361848097</v>
      </c>
      <c r="K26" s="2">
        <f>K24/20</f>
        <v>5.2549999999999999</v>
      </c>
      <c r="L26" s="2">
        <f>L24/20</f>
        <v>41.012359999999987</v>
      </c>
      <c r="M26" s="2">
        <f>SQRT(L26)</f>
        <v>6.4040893185526375</v>
      </c>
    </row>
  </sheetData>
  <mergeCells count="5">
    <mergeCell ref="B23:M23"/>
    <mergeCell ref="B1:D1"/>
    <mergeCell ref="E1:G1"/>
    <mergeCell ref="H1:J1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Theta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Akbar Pratama</dc:creator>
  <cp:lastModifiedBy>Akbar Pratama</cp:lastModifiedBy>
  <dcterms:created xsi:type="dcterms:W3CDTF">2025-10-01T06:16:16Z</dcterms:created>
  <dcterms:modified xsi:type="dcterms:W3CDTF">2025-10-25T14:44:10Z</dcterms:modified>
</cp:coreProperties>
</file>